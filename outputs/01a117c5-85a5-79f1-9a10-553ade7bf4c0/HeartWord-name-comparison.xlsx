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246197c53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mes" sheetId="1" r:id="R4abc224f44894026"/>
    <x:sheet xmlns:r="http://schemas.openxmlformats.org/officeDocument/2006/relationships" name="Domain evidence" sheetId="2" r:id="R6c732b84a11a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mm/dd/yyyy hh:mm:ss"/>
  </x:numFmts>
  <x:fonts count="6">
    <x:font>
      <x:sz val="11"/>
      <x:name val="Carlito"/>
    </x:font>
    <x:font>
      <x:sz val="10"/>
      <x:color rgb="FF202C3A"/>
      <x:name val="Arial"/>
    </x:font>
    <x:font>
      <x:b/>
      <x:sz val="16"/>
      <x:color rgb="FF233E5D"/>
      <x:name val="Arial"/>
    </x:font>
    <x:font>
      <x:sz val="10"/>
      <x:color rgb="FF536478"/>
      <x:name val="Arial"/>
    </x:font>
    <x:font>
      <x:b/>
      <x:sz val="10"/>
      <x:color rgb="FFFFFFFF"/>
      <x:name val="Arial"/>
    </x:font>
    <x:font>
      <x:sz val="10"/>
      <x:color rgb="FF275C9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E5D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3A5B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2F25"/>
      </x:font>
      <x:fill>
        <x:patternFill patternType="solid">
          <x:bgColor rgb="FFFBE5E1"/>
        </x:patternFill>
      </x:fill>
    </x:dxf>
    <x:dxf>
      <x:font>
        <x:b/>
        <x:color rgb="FF7D5A1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9bd158a9c4fb5" /><Relationship Type="http://schemas.openxmlformats.org/officeDocument/2006/relationships/theme" Target="/xl/theme/theme1.xml" Id="Rc685e3224bd141c5" /><Relationship Type="http://schemas.openxmlformats.org/officeDocument/2006/relationships/sharedStrings" Target="/xl/sharedStrings.xml" Id="R68837d6ddac94243" /><Relationship Type="http://schemas.openxmlformats.org/officeDocument/2006/relationships/worksheet" Target="/xl/worksheets/sheet1.xml" Id="R4abc224f44894026" /><Relationship Type="http://schemas.openxmlformats.org/officeDocument/2006/relationships/worksheet" Target="/xl/worksheets/sheet2.xml" Id="R6c732b84a11a4da7" /></Relationships>
</file>

<file path=xl/tables/table1.xml><?xml version="1.0" encoding="utf-8"?>
<x:table xmlns:x="http://schemas.openxmlformats.org/spreadsheetml/2006/main" id="1" name="NamesComparison" displayName="NamesComparison" ref="A7:L40" headerRowCount="1" totalsRowCount="0" totalsRowShown="0">
  <x:autoFilter ref="A7:L40"/>
  <x:tableColumns count="12">
    <x:tableColumn id="1" name="Name"/>
    <x:tableColumn id="2" name="Recommendation"/>
    <x:tableColumn id="3" name="Best use and strength"/>
    <x:tableColumn id="4" name="Spoken clarity and drawback"/>
    <x:tableColumn id="5" name="Existing-use screening"/>
    <x:tableColumn id="6" name="Domain requirement"/>
    <x:tableColumn id="7" name=".com domain"/>
    <x:tableColumn id="8" name=".org domain"/>
    <x:tableColumn id="9" name="First-year pair (USD)"/>
    <x:tableColumn id="10" name="Renewal pair (USD/year)"/>
    <x:tableColumn id="11" name="Research batch"/>
    <x:tableColumn id="12" name="Checked at (EDT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ainEvidence" displayName="DomainEvidence" ref="A7:L73" headerRowCount="1" totalsRowCount="0" totalsRowShown="0">
  <x:autoFilter ref="A7:L73"/>
  <x:tableColumns count="12">
    <x:tableColumn id="1" name="Name"/>
    <x:tableColumn id="2" name="Exact domain"/>
    <x:tableColumn id="3" name="Observed status"/>
    <x:tableColumn id="4" name="First year (USD)"/>
    <x:tableColumn id="5" name="Renewal (USD/year)"/>
    <x:tableColumn id="6" name="Resale quote (USD)"/>
    <x:tableColumn id="7" name="Premium / resale status"/>
    <x:tableColumn id="8" name="Checked at (EDT)"/>
    <x:tableColumn id="9" name="Registrar"/>
    <x:tableColumn id="10" name="Evidence limitation"/>
    <x:tableColumn id="11" name="Registrar source URL"/>
    <x:tableColumn id="12" name="Naming-use source URL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8d90de4b249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b6e84e8f4240f8" /></Relationships>
</file>

<file path=xl/worksheets/sheet1.xml><?xml version="1.0" encoding="utf-8"?>
<x:worksheet xmlns:x="http://schemas.openxmlformats.org/spreadsheetml/2006/main">
  <x:sheetPr>
    <x:tabColor rgb="FF233E5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6" hidden="0" customWidth="1"/>
    <x:col min="2" max="2" width="27" hidden="0" customWidth="1"/>
    <x:col min="3" max="3" width="53" hidden="0" customWidth="1"/>
    <x:col min="4" max="4" width="62" hidden="0" customWidth="1"/>
    <x:col min="5" max="5" width="45" hidden="0" customWidth="1"/>
    <x:col min="6" max="6" width="21" hidden="0" customWidth="1"/>
    <x:col min="7" max="7" width="34" hidden="0" customWidth="1"/>
    <x:col min="8" max="8" width="34" hidden="0" customWidth="1"/>
    <x:col min="9" max="9" width="18" hidden="0" customWidth="1"/>
    <x:col min="10" max="10" width="19" hidden="0" customWidth="1"/>
    <x:col min="11" max="11" width="23" hidden="0" customWidth="1"/>
    <x:col min="12" max="12" width="2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4" t="str">
        <x:v>HeartWord naming comparison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1" customHeight="1">
      <x:c r="A3" s="6" t="str">
        <x:v>31 qualifying alternatives plus HeartWord and Word and Light. Recorded checks: October 7, 2026.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1" customHeight="1">
      <x:c r="A4" s="6" t="str">
        <x:v>Required: exact .com and .org, standard registration, primary domain up to $50 first year. All amounts USD.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1" customHeight="1">
      <x:c r="A5" s="6" t="str">
        <x:v>Availability is time-bound. Naming clearance and final name / shared-or-split structure remain open.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3" customHeight="1">
      <x:c r="A7" s="15" t="str">
        <x:v>Name</x:v>
      </x:c>
      <x:c r="B7" s="16" t="str">
        <x:v>Recommendation</x:v>
      </x:c>
      <x:c r="C7" s="16" t="str">
        <x:v>Best use and strength</x:v>
      </x:c>
      <x:c r="D7" s="16" t="str">
        <x:v>Spoken clarity and drawback</x:v>
      </x:c>
      <x:c r="E7" s="16" t="str">
        <x:v>Existing-use screening</x:v>
      </x:c>
      <x:c r="F7" s="16" t="str">
        <x:v>Domain requirement</x:v>
      </x:c>
      <x:c r="G7" s="16" t="str">
        <x:v>.com domain</x:v>
      </x:c>
      <x:c r="H7" s="16" t="str">
        <x:v>.org domain</x:v>
      </x:c>
      <x:c r="I7" s="16" t="str">
        <x:v>First-year pair (USD)</x:v>
      </x:c>
      <x:c r="J7" s="16" t="str">
        <x:v>Renewal pair (USD/year)</x:v>
      </x:c>
      <x:c r="K7" s="16" t="str">
        <x:v>Research batch</x:v>
      </x:c>
      <x:c r="L7" s="17" t="str">
        <x:v>Checked at (EDT)</x:v>
      </x:c>
    </x:row>
    <x:row r="8" ht="79" customHeight="1">
      <x:c r="A8" s="18" t="str">
        <x:v>Word in Reach</x:v>
      </x:c>
      <x:c r="B8" s="18" t="str">
        <x:v>Overall recommendation</x:v>
      </x:c>
      <x:c r="C8" s="19" t="str">
        <x:v>Best umbrella: Word in Reach Studio, Word in Reach Films, Word in Reach Illustrated. Access to Scripture remains central while the medium can vary.</x:v>
      </x:c>
      <x:c r="D8" s="19" t="str">
        <x:v>Three familiar words and three syllables: "word in reach." Easy to repeat and spell; avoids the reported heartworm resemblance. "Word" also suggests general writing or software. Retain the existing Scripture/heart-language tagline. Do not shorten it to WordReach, an existing word-game name.</x:v>
      </x:c>
      <x:c r="E8" s="19" t="str">
        <x:v>WordReach word game. Keep the complete name.</x:v>
      </x:c>
      <x:c r="F8" s="18" t="str">
        <x:f>IF(AND(COUNTIFS('Domain evidence'!$A$8:$A$73,$A8,'Domain evidence'!$C$8:$C$73,"Available standard registration")=2,ISNUMBER(I8),SUMIFS('Domain evidence'!$D$8:$D$73,'Domain evidence'!$B$8:$B$73,G8)&lt;=50),"Meets at check","Does not meet")</x:f>
        <x:v>Meets at check</x:v>
      </x:c>
      <x:c r="G8" s="18" t="str">
        <x:v>wordinreach.com</x:v>
      </x:c>
      <x:c r="H8" s="18" t="str">
        <x:v>wordinreach.org</x:v>
      </x:c>
      <x:c r="I8" s="22" t="n">
        <x:f>IF(AND(COUNTIFS('Domain evidence'!$A$8:$A$73,$A8,'Domain evidence'!$D$8:$D$73,"&lt;&gt;")=2,COUNTIFS('Domain evidence'!$A$8:$A$73,$A8,'Domain evidence'!$D$8:$D$73,"&gt;=0")=2),SUMIFS('Domain evidence'!$D$8:$D$73,'Domain evidence'!$A$8:$A$73,$A8),"")</x:f>
        <x:v>19.060000000000002</x:v>
      </x:c>
      <x:c r="J8" s="22" t="n">
        <x:f>IF(AND(COUNTIFS('Domain evidence'!$A$8:$A$73,$A8,'Domain evidence'!$E$8:$E$73,"&lt;&gt;")=2,COUNTIFS('Domain evidence'!$A$8:$A$73,$A8,'Domain evidence'!$E$8:$E$73,"&gt;=0")=2),SUMIFS('Domain evidence'!$E$8:$E$73,'Domain evidence'!$A$8:$A$73,$A8),"")</x:f>
        <x:v>22.92</x:v>
      </x:c>
      <x:c r="K8" s="18" t="str">
        <x:v>Initial shortlist</x:v>
      </x:c>
      <x:c r="L8" s="23" t="n">
        <x:v>46302.63549768519</x:v>
      </x:c>
    </x:row>
    <x:row r="9" ht="79" customHeight="1">
      <x:c r="A9" s="18" t="str">
        <x:v>ScriptureKin</x:v>
      </x:c>
      <x:c r="B9" s="18" t="str">
        <x:v>Initial shortlist</x:v>
      </x:c>
      <x:c r="C9" s="19" t="str">
        <x:v>Scripture is explicit; "kin" suggests people and belonging. ScriptureKin Studio, Films and Illustrated form a coherent family.</x:v>
      </x:c>
      <x:c r="D9" s="19" t="str">
        <x:v>Three syllables, approximately "SCRIPT-chur-kin." Shorter than the descriptive option; the compound needs an initial explanation. "Scripture" is harder to spell and pronounce than Word; "kin" may imply family content or ancestry rather than language access. The linguistic mission needs the tagline.</x:v>
      </x:c>
      <x:c r="E9" s="19" t="str">
        <x:v>No obvious exact-name business surfaced in the limited web check. Naming clearance is incomplete.</x:v>
      </x:c>
      <x:c r="F9" s="18" t="str">
        <x:f>IF(AND(COUNTIFS('Domain evidence'!$A$8:$A$73,$A9,'Domain evidence'!$C$8:$C$73,"Available standard registration")=2,ISNUMBER(I9),SUMIFS('Domain evidence'!$D$8:$D$73,'Domain evidence'!$B$8:$B$73,G9)&lt;=50),"Meets at check","Does not meet")</x:f>
        <x:v>Meets at check</x:v>
      </x:c>
      <x:c r="G9" s="18" t="str">
        <x:v>scripturekin.com</x:v>
      </x:c>
      <x:c r="H9" s="18" t="str">
        <x:v>scripturekin.org</x:v>
      </x:c>
      <x:c r="I9" s="22" t="n">
        <x:f>IF(AND(COUNTIFS('Domain evidence'!$A$8:$A$73,$A9,'Domain evidence'!$D$8:$D$73,"&lt;&gt;")=2,COUNTIFS('Domain evidence'!$A$8:$A$73,$A9,'Domain evidence'!$D$8:$D$73,"&gt;=0")=2),SUMIFS('Domain evidence'!$D$8:$D$73,'Domain evidence'!$A$8:$A$73,$A9),"")</x:f>
        <x:v>19.060000000000002</x:v>
      </x:c>
      <x:c r="J9" s="22" t="n">
        <x:f>IF(AND(COUNTIFS('Domain evidence'!$A$8:$A$73,$A9,'Domain evidence'!$E$8:$E$73,"&lt;&gt;")=2,COUNTIFS('Domain evidence'!$A$8:$A$73,$A9,'Domain evidence'!$E$8:$E$73,"&gt;=0")=2),SUMIFS('Domain evidence'!$E$8:$E$73,'Domain evidence'!$A$8:$A$73,$A9),"")</x:f>
        <x:v>22.92</x:v>
      </x:c>
      <x:c r="K9" s="18" t="str">
        <x:v>Initial shortlist</x:v>
      </x:c>
      <x:c r="L9" s="23" t="n">
        <x:v>46302.63549768519</x:v>
      </x:c>
    </x:row>
    <x:row r="10" ht="79" customHeight="1">
      <x:c r="A10" s="18" t="str">
        <x:v>Every Tongue Media</x:v>
      </x:c>
      <x:c r="B10" s="18" t="str">
        <x:v>Initial shortlist</x:v>
      </x:c>
      <x:c r="C10" s="19" t="str">
        <x:v>Most explicit about multiple languages and multiple media. Works directly as an organization and production-company name.</x:v>
      </x:c>
      <x:c r="D10" s="19" t="str">
        <x:v>Approximately "EV-ree tung MEE-dee-uh"; six syllables in that pronunciation. Familiar mission language for Christian partners. Long domain and spoken introduction; "tongue" has irregular spelling. The phrase is common in ministry messaging. Appending Studio or Films to the full name is cumbersome.</x:v>
      </x:c>
      <x:c r="E10" s="19" t="str">
        <x:v>Common ministry wording. Nearby Lifeword mission and Every Voice, Every Tongue film.</x:v>
      </x:c>
      <x:c r="F10" s="18" t="str">
        <x:f>IF(AND(COUNTIFS('Domain evidence'!$A$8:$A$73,$A10,'Domain evidence'!$C$8:$C$73,"Available standard registration")=2,ISNUMBER(I10),SUMIFS('Domain evidence'!$D$8:$D$73,'Domain evidence'!$B$8:$B$73,G10)&lt;=50),"Meets at check","Does not meet")</x:f>
        <x:v>Meets at check</x:v>
      </x:c>
      <x:c r="G10" s="18" t="str">
        <x:v>everytonguemedia.com</x:v>
      </x:c>
      <x:c r="H10" s="18" t="str">
        <x:v>everytonguemedia.org</x:v>
      </x:c>
      <x:c r="I10" s="22" t="n">
        <x:f>IF(AND(COUNTIFS('Domain evidence'!$A$8:$A$73,$A10,'Domain evidence'!$D$8:$D$73,"&lt;&gt;")=2,COUNTIFS('Domain evidence'!$A$8:$A$73,$A10,'Domain evidence'!$D$8:$D$73,"&gt;=0")=2),SUMIFS('Domain evidence'!$D$8:$D$73,'Domain evidence'!$A$8:$A$73,$A10),"")</x:f>
        <x:v>19.060000000000002</x:v>
      </x:c>
      <x:c r="J10" s="22" t="n">
        <x:f>IF(AND(COUNTIFS('Domain evidence'!$A$8:$A$73,$A10,'Domain evidence'!$E$8:$E$73,"&lt;&gt;")=2,COUNTIFS('Domain evidence'!$A$8:$A$73,$A10,'Domain evidence'!$E$8:$E$73,"&gt;=0")=2),SUMIFS('Domain evidence'!$E$8:$E$73,'Domain evidence'!$A$8:$A$73,$A10),"")</x:f>
        <x:v>22.92</x:v>
      </x:c>
      <x:c r="K10" s="18" t="str">
        <x:v>Initial shortlist</x:v>
      </x:c>
      <x:c r="L10" s="23" t="n">
        <x:v>46302.63549768519</x:v>
      </x:c>
    </x:row>
    <x:row r="11" ht="92" customHeight="1">
      <x:c r="A11" s="18" t="str">
        <x:v>HeartWord</x:v>
      </x:c>
      <x:c r="B11" s="18" t="str">
        <x:v>Current brand</x:v>
      </x:c>
      <x:c r="C11" s="19" t="str">
        <x:v>Strongest direct connection to heart languages; already has an established AI/Studio/Films/Illustrated family and logo. Retaining it avoids transition work.</x:v>
      </x:c>
      <x:c r="D11" s="19" t="str">
        <x:v>Two syllables and compact. Dan has already identified confusion with "heartworm"; spelling and visual spacing cannot fix every spoken introduction. Exact-name Bible products already exist, and heartword.com was offered for resale rather than standard registration. It does not meet the agreed clean domain-pair acquisition requirement.</x:v>
      </x:c>
      <x:c r="E11" s="19" t="str">
        <x:v>Exact-name Bible products and a Stoic-quotes app. Dan reported heartworm confusion.</x:v>
      </x:c>
      <x:c r="F11" s="18" t="str">
        <x:f>IF(AND(COUNTIFS('Domain evidence'!$A$8:$A$73,$A11,'Domain evidence'!$C$8:$C$73,"Available standard registration")=2,ISNUMBER(I11),SUMIFS('Domain evidence'!$D$8:$D$73,'Domain evidence'!$B$8:$B$73,G11)&lt;=50),"Meets at check","Does not meet")</x:f>
        <x:v>Does not meet</x:v>
      </x:c>
      <x:c r="G11" s="18" t="str">
        <x:v>heartword.com</x:v>
      </x:c>
      <x:c r="H11" s="18" t="str">
        <x:v>heartword.org</x:v>
      </x:c>
      <x:c r="I11" s="22" t="str">
        <x:f>IF(AND(COUNTIFS('Domain evidence'!$A$8:$A$73,$A11,'Domain evidence'!$D$8:$D$73,"&lt;&gt;")=2,COUNTIFS('Domain evidence'!$A$8:$A$73,$A11,'Domain evidence'!$D$8:$D$73,"&gt;=0")=2),SUMIFS('Domain evidence'!$D$8:$D$73,'Domain evidence'!$A$8:$A$73,$A11),"")</x:f>
      </x:c>
      <x:c r="J11" s="22" t="str">
        <x:f>IF(AND(COUNTIFS('Domain evidence'!$A$8:$A$73,$A11,'Domain evidence'!$E$8:$E$73,"&lt;&gt;")=2,COUNTIFS('Domain evidence'!$A$8:$A$73,$A11,'Domain evidence'!$E$8:$E$73,"&gt;=0")=2),SUMIFS('Domain evidence'!$E$8:$E$73,'Domain evidence'!$A$8:$A$73,$A11),"")</x:f>
      </x:c>
      <x:c r="K11" s="18" t="str">
        <x:v>Current brand</x:v>
      </x:c>
      <x:c r="L11" s="23" t="n">
        <x:v>46302.63818287037</x:v>
      </x:c>
    </x:row>
    <x:row r="12" ht="70" customHeight="1">
      <x:c r="A12" s="18" t="str">
        <x:v>ScriptureReach</x:v>
      </x:c>
      <x:c r="B12" s="18" t="str">
        <x:v>Leading mission option</x:v>
      </x:c>
      <x:c r="C12" s="19" t="str">
        <x:v>Organization and shared Studio/Films/Illustrated family. Makes Scripture access explicit.</x:v>
      </x:c>
      <x:c r="D12" s="19" t="str">
        <x:v>Approximately "SCRIPT-chur reach." Compact, but Scripture is harder to pronounce and spell than Word. Language access and visual production still need the tagline.</x:v>
      </x:c>
      <x:c r="E12" s="19" t="str">
        <x:v>No obvious exact-name business surfaced in the limited web check. Naming clearance is incomplete.</x:v>
      </x:c>
      <x:c r="F12" s="18" t="str">
        <x:f>IF(AND(COUNTIFS('Domain evidence'!$A$8:$A$73,$A12,'Domain evidence'!$C$8:$C$73,"Available standard registration")=2,ISNUMBER(I12),SUMIFS('Domain evidence'!$D$8:$D$73,'Domain evidence'!$B$8:$B$73,G12)&lt;=50),"Meets at check","Does not meet")</x:f>
        <x:v>Meets at check</x:v>
      </x:c>
      <x:c r="G12" s="18" t="str">
        <x:v>scripturereach.com</x:v>
      </x:c>
      <x:c r="H12" s="18" t="str">
        <x:v>scripturereach.org</x:v>
      </x:c>
      <x:c r="I12" s="22" t="n">
        <x:f>IF(AND(COUNTIFS('Domain evidence'!$A$8:$A$73,$A12,'Domain evidence'!$D$8:$D$73,"&lt;&gt;")=2,COUNTIFS('Domain evidence'!$A$8:$A$73,$A12,'Domain evidence'!$D$8:$D$73,"&gt;=0")=2),SUMIFS('Domain evidence'!$D$8:$D$73,'Domain evidence'!$A$8:$A$73,$A12),"")</x:f>
        <x:v>19.060000000000002</x:v>
      </x:c>
      <x:c r="J12" s="22" t="n">
        <x:f>IF(AND(COUNTIFS('Domain evidence'!$A$8:$A$73,$A12,'Domain evidence'!$E$8:$E$73,"&lt;&gt;")=2,COUNTIFS('Domain evidence'!$A$8:$A$73,$A12,'Domain evidence'!$E$8:$E$73,"&gt;=0")=2),SUMIFS('Domain evidence'!$E$8:$E$73,'Domain evidence'!$A$8:$A$73,$A12),"")</x:f>
        <x:v>22.92</x:v>
      </x:c>
      <x:c r="K12" s="18" t="str">
        <x:v>Additional ten</x:v>
      </x:c>
      <x:c r="L12" s="23" t="n">
        <x:v>46302.64545138889</x:v>
      </x:c>
    </x:row>
    <x:row r="13" ht="70" customHeight="1">
      <x:c r="A13" s="18" t="str">
        <x:v>Word in View</x:v>
      </x:c>
      <x:c r="B13" s="18" t="str">
        <x:v>Leading studio option</x:v>
      </x:c>
      <x:c r="C13" s="19" t="str">
        <x:v>Shared umbrella or especially Studio/Films. Three short, familiar words connect the source Word with seeing it.</x:v>
      </x:c>
      <x:c r="D13" s="19" t="str">
        <x:v>Easy to repeat. Word can suggest general writing or office software, so the Scripture/heart-language positioning matters.</x:v>
      </x:c>
      <x:c r="E13" s="19" t="str">
        <x:v>No obvious exact-name business surfaced in the limited web check. Naming clearance is incomplete.</x:v>
      </x:c>
      <x:c r="F13" s="18" t="str">
        <x:f>IF(AND(COUNTIFS('Domain evidence'!$A$8:$A$73,$A13,'Domain evidence'!$C$8:$C$73,"Available standard registration")=2,ISNUMBER(I13),SUMIFS('Domain evidence'!$D$8:$D$73,'Domain evidence'!$B$8:$B$73,G13)&lt;=50),"Meets at check","Does not meet")</x:f>
        <x:v>Meets at check</x:v>
      </x:c>
      <x:c r="G13" s="18" t="str">
        <x:v>wordinview.com</x:v>
      </x:c>
      <x:c r="H13" s="18" t="str">
        <x:v>wordinview.org</x:v>
      </x:c>
      <x:c r="I13" s="22" t="n">
        <x:f>IF(AND(COUNTIFS('Domain evidence'!$A$8:$A$73,$A13,'Domain evidence'!$D$8:$D$73,"&lt;&gt;")=2,COUNTIFS('Domain evidence'!$A$8:$A$73,$A13,'Domain evidence'!$D$8:$D$73,"&gt;=0")=2),SUMIFS('Domain evidence'!$D$8:$D$73,'Domain evidence'!$A$8:$A$73,$A13),"")</x:f>
        <x:v>19.060000000000002</x:v>
      </x:c>
      <x:c r="J13" s="22" t="n">
        <x:f>IF(AND(COUNTIFS('Domain evidence'!$A$8:$A$73,$A13,'Domain evidence'!$E$8:$E$73,"&lt;&gt;")=2,COUNTIFS('Domain evidence'!$A$8:$A$73,$A13,'Domain evidence'!$E$8:$E$73,"&gt;=0")=2),SUMIFS('Domain evidence'!$E$8:$E$73,'Domain evidence'!$A$8:$A$73,$A13),"")</x:f>
        <x:v>22.92</x:v>
      </x:c>
      <x:c r="K13" s="18" t="str">
        <x:v>Additional ten</x:v>
      </x:c>
      <x:c r="L13" s="23" t="n">
        <x:v>46302.64545138889</x:v>
      </x:c>
    </x:row>
    <x:row r="14" ht="70" customHeight="1">
      <x:c r="A14" s="18" t="str">
        <x:v>ScriptureLantern</x:v>
      </x:c>
      <x:c r="B14" s="18" t="str">
        <x:v>Leading warm umbrella</x:v>
      </x:c>
      <x:c r="C14" s="19" t="str">
        <x:v>Shared umbrella. A familiar visual object suggests light and guidance without tying the brand to one medium.</x:v>
      </x:c>
      <x:c r="D14" s="19" t="str">
        <x:v>Approximately "SCRIPT-chur LAN-tern." Memorable image, but longer and may sound like a devotional publisher rather than an AI studio.</x:v>
      </x:c>
      <x:c r="E14" s="19" t="str">
        <x:v>No obvious exact-name business surfaced in the limited web check. Naming clearance is incomplete.</x:v>
      </x:c>
      <x:c r="F14" s="18" t="str">
        <x:f>IF(AND(COUNTIFS('Domain evidence'!$A$8:$A$73,$A14,'Domain evidence'!$C$8:$C$73,"Available standard registration")=2,ISNUMBER(I14),SUMIFS('Domain evidence'!$D$8:$D$73,'Domain evidence'!$B$8:$B$73,G14)&lt;=50),"Meets at check","Does not meet")</x:f>
        <x:v>Meets at check</x:v>
      </x:c>
      <x:c r="G14" s="18" t="str">
        <x:v>scripturelantern.com</x:v>
      </x:c>
      <x:c r="H14" s="18" t="str">
        <x:v>scripturelantern.org</x:v>
      </x:c>
      <x:c r="I14" s="22" t="n">
        <x:f>IF(AND(COUNTIFS('Domain evidence'!$A$8:$A$73,$A14,'Domain evidence'!$D$8:$D$73,"&lt;&gt;")=2,COUNTIFS('Domain evidence'!$A$8:$A$73,$A14,'Domain evidence'!$D$8:$D$73,"&gt;=0")=2),SUMIFS('Domain evidence'!$D$8:$D$73,'Domain evidence'!$A$8:$A$73,$A14),"")</x:f>
        <x:v>19.060000000000002</x:v>
      </x:c>
      <x:c r="J14" s="22" t="n">
        <x:f>IF(AND(COUNTIFS('Domain evidence'!$A$8:$A$73,$A14,'Domain evidence'!$E$8:$E$73,"&lt;&gt;")=2,COUNTIFS('Domain evidence'!$A$8:$A$73,$A14,'Domain evidence'!$E$8:$E$73,"&gt;=0")=2),SUMIFS('Domain evidence'!$E$8:$E$73,'Domain evidence'!$A$8:$A$73,$A14),"")</x:f>
        <x:v>22.92</x:v>
      </x:c>
      <x:c r="K14" s="18" t="str">
        <x:v>Additional ten</x:v>
      </x:c>
      <x:c r="L14" s="23" t="n">
        <x:v>46302.646516203706</x:v>
      </x:c>
    </x:row>
    <x:row r="15" ht="70" customHeight="1">
      <x:c r="A15" s="18" t="str">
        <x:v>Language and Light</x:v>
      </x:c>
      <x:c r="B15" s="18" t="str">
        <x:v>Additional choice</x:v>
      </x:c>
      <x:c r="C15" s="19" t="str">
        <x:v>Organization or studio. Connects language with cinema and illustration; works across output formats.</x:v>
      </x:c>
      <x:c r="D15" s="19" t="str">
        <x:v>Familiar words and pleasant rhythm, but the longest word is Language. Scripture is not explicit. Nearby "light language" spiritual terminology creates an association to test; see the source note below.</x:v>
      </x:c>
      <x:c r="E15" s="19" t="str">
        <x:v>Nearby light-language spiritual terminology. Association is an editorial concern.</x:v>
      </x:c>
      <x:c r="F15" s="18" t="str">
        <x:f>IF(AND(COUNTIFS('Domain evidence'!$A$8:$A$73,$A15,'Domain evidence'!$C$8:$C$73,"Available standard registration")=2,ISNUMBER(I15),SUMIFS('Domain evidence'!$D$8:$D$73,'Domain evidence'!$B$8:$B$73,G15)&lt;=50),"Meets at check","Does not meet")</x:f>
        <x:v>Meets at check</x:v>
      </x:c>
      <x:c r="G15" s="18" t="str">
        <x:v>languageandlight.com</x:v>
      </x:c>
      <x:c r="H15" s="18" t="str">
        <x:v>languageandlight.org</x:v>
      </x:c>
      <x:c r="I15" s="22" t="n">
        <x:f>IF(AND(COUNTIFS('Domain evidence'!$A$8:$A$73,$A15,'Domain evidence'!$D$8:$D$73,"&lt;&gt;")=2,COUNTIFS('Domain evidence'!$A$8:$A$73,$A15,'Domain evidence'!$D$8:$D$73,"&gt;=0")=2),SUMIFS('Domain evidence'!$D$8:$D$73,'Domain evidence'!$A$8:$A$73,$A15),"")</x:f>
        <x:v>19.060000000000002</x:v>
      </x:c>
      <x:c r="J15" s="22" t="n">
        <x:f>IF(AND(COUNTIFS('Domain evidence'!$A$8:$A$73,$A15,'Domain evidence'!$E$8:$E$73,"&lt;&gt;")=2,COUNTIFS('Domain evidence'!$A$8:$A$73,$A15,'Domain evidence'!$E$8:$E$73,"&gt;=0")=2),SUMIFS('Domain evidence'!$E$8:$E$73,'Domain evidence'!$A$8:$A$73,$A15),"")</x:f>
        <x:v>22.92</x:v>
      </x:c>
      <x:c r="K15" s="18" t="str">
        <x:v>Additional ten</x:v>
      </x:c>
      <x:c r="L15" s="23" t="n">
        <x:v>46302.64545138889</x:v>
      </x:c>
    </x:row>
    <x:row r="16" ht="70" customHeight="1">
      <x:c r="A16" s="18" t="str">
        <x:v>Word With Us</x:v>
      </x:c>
      <x:c r="B16" s="18" t="str">
        <x:v>Additional choice</x:v>
      </x:c>
      <x:c r="C16" s="19" t="str">
        <x:v>Organization and shared output family. Warm, short and relational.</x:v>
      </x:c>
      <x:c r="D16" s="19" t="str">
        <x:v>Three simple words. Could sound like a discussion group or devotional program. A Word With You is an existing ministry broadcast, so similar wording deserves focused review.</x:v>
      </x:c>
      <x:c r="E16" s="19" t="str">
        <x:v>Similar ministry broadcast name: A Word With You.</x:v>
      </x:c>
      <x:c r="F16" s="18" t="str">
        <x:f>IF(AND(COUNTIFS('Domain evidence'!$A$8:$A$73,$A16,'Domain evidence'!$C$8:$C$73,"Available standard registration")=2,ISNUMBER(I16),SUMIFS('Domain evidence'!$D$8:$D$73,'Domain evidence'!$B$8:$B$73,G16)&lt;=50),"Meets at check","Does not meet")</x:f>
        <x:v>Meets at check</x:v>
      </x:c>
      <x:c r="G16" s="18" t="str">
        <x:v>wordwithus.com</x:v>
      </x:c>
      <x:c r="H16" s="18" t="str">
        <x:v>wordwithus.org</x:v>
      </x:c>
      <x:c r="I16" s="22" t="n">
        <x:f>IF(AND(COUNTIFS('Domain evidence'!$A$8:$A$73,$A16,'Domain evidence'!$D$8:$D$73,"&lt;&gt;")=2,COUNTIFS('Domain evidence'!$A$8:$A$73,$A16,'Domain evidence'!$D$8:$D$73,"&gt;=0")=2),SUMIFS('Domain evidence'!$D$8:$D$73,'Domain evidence'!$A$8:$A$73,$A16),"")</x:f>
        <x:v>19.060000000000002</x:v>
      </x:c>
      <x:c r="J16" s="22" t="n">
        <x:f>IF(AND(COUNTIFS('Domain evidence'!$A$8:$A$73,$A16,'Domain evidence'!$E$8:$E$73,"&lt;&gt;")=2,COUNTIFS('Domain evidence'!$A$8:$A$73,$A16,'Domain evidence'!$E$8:$E$73,"&gt;=0")=2),SUMIFS('Domain evidence'!$E$8:$E$73,'Domain evidence'!$A$8:$A$73,$A16),"")</x:f>
        <x:v>22.92</x:v>
      </x:c>
      <x:c r="K16" s="18" t="str">
        <x:v>Additional ten</x:v>
      </x:c>
      <x:c r="L16" s="23" t="n">
        <x:v>46302.646516203706</x:v>
      </x:c>
    </x:row>
    <x:row r="17" ht="70" customHeight="1">
      <x:c r="A17" s="18" t="str">
        <x:v>Heart Language Media</x:v>
      </x:c>
      <x:c r="B17" s="18" t="str">
        <x:v>Additional choice</x:v>
      </x:c>
      <x:c r="C17" s="19" t="str">
        <x:v>Organization/production company. States the existing mission directly and retains Heart without the HeartWord compound.</x:v>
      </x:c>
      <x:c r="D17" s="19" t="str">
        <x:v>Clear to ministry partners, but long; people outside that community may need an explanation of heart language. Media Studio/Media Films suffixes become cumbersome.</x:v>
      </x:c>
      <x:c r="E17" s="19" t="str">
        <x:v>Nearby descriptive Christian-resource name: Multi-Language Media.</x:v>
      </x:c>
      <x:c r="F17" s="18" t="str">
        <x:f>IF(AND(COUNTIFS('Domain evidence'!$A$8:$A$73,$A17,'Domain evidence'!$C$8:$C$73,"Available standard registration")=2,ISNUMBER(I17),SUMIFS('Domain evidence'!$D$8:$D$73,'Domain evidence'!$B$8:$B$73,G17)&lt;=50),"Meets at check","Does not meet")</x:f>
        <x:v>Meets at check</x:v>
      </x:c>
      <x:c r="G17" s="18" t="str">
        <x:v>heartlanguagemedia.com</x:v>
      </x:c>
      <x:c r="H17" s="18" t="str">
        <x:v>heartlanguagemedia.org</x:v>
      </x:c>
      <x:c r="I17" s="22" t="n">
        <x:f>IF(AND(COUNTIFS('Domain evidence'!$A$8:$A$73,$A17,'Domain evidence'!$D$8:$D$73,"&lt;&gt;")=2,COUNTIFS('Domain evidence'!$A$8:$A$73,$A17,'Domain evidence'!$D$8:$D$73,"&gt;=0")=2),SUMIFS('Domain evidence'!$D$8:$D$73,'Domain evidence'!$A$8:$A$73,$A17),"")</x:f>
        <x:v>19.060000000000002</x:v>
      </x:c>
      <x:c r="J17" s="22" t="n">
        <x:f>IF(AND(COUNTIFS('Domain evidence'!$A$8:$A$73,$A17,'Domain evidence'!$E$8:$E$73,"&lt;&gt;")=2,COUNTIFS('Domain evidence'!$A$8:$A$73,$A17,'Domain evidence'!$E$8:$E$73,"&gt;=0")=2),SUMIFS('Domain evidence'!$E$8:$E$73,'Domain evidence'!$A$8:$A$73,$A17),"")</x:f>
        <x:v>22.92</x:v>
      </x:c>
      <x:c r="K17" s="18" t="str">
        <x:v>Additional ten</x:v>
      </x:c>
      <x:c r="L17" s="23" t="n">
        <x:v>46302.64545138889</x:v>
      </x:c>
    </x:row>
    <x:row r="18" ht="70" customHeight="1">
      <x:c r="A18" s="18" t="str">
        <x:v>Every Language Media</x:v>
      </x:c>
      <x:c r="B18" s="18" t="str">
        <x:v>Additional choice</x:v>
      </x:c>
      <x:c r="C18" s="19" t="str">
        <x:v>Organization/production company. Makes linguistic breadth and multiple output formats explicit.</x:v>
      </x:c>
      <x:c r="D18" s="19" t="str">
        <x:v>Familiar words but a long introduction and domain. Every describes an aspiration, not completed coverage. Similar descriptive language is already used in this field.</x:v>
      </x:c>
      <x:c r="E18" s="19" t="str">
        <x:v>Nearby descriptive Christian-resource name: Multi-Language Media.</x:v>
      </x:c>
      <x:c r="F18" s="18" t="str">
        <x:f>IF(AND(COUNTIFS('Domain evidence'!$A$8:$A$73,$A18,'Domain evidence'!$C$8:$C$73,"Available standard registration")=2,ISNUMBER(I18),SUMIFS('Domain evidence'!$D$8:$D$73,'Domain evidence'!$B$8:$B$73,G18)&lt;=50),"Meets at check","Does not meet")</x:f>
        <x:v>Meets at check</x:v>
      </x:c>
      <x:c r="G18" s="18" t="str">
        <x:v>everylanguagemedia.com</x:v>
      </x:c>
      <x:c r="H18" s="18" t="str">
        <x:v>everylanguagemedia.org</x:v>
      </x:c>
      <x:c r="I18" s="22" t="n">
        <x:f>IF(AND(COUNTIFS('Domain evidence'!$A$8:$A$73,$A18,'Domain evidence'!$D$8:$D$73,"&lt;&gt;")=2,COUNTIFS('Domain evidence'!$A$8:$A$73,$A18,'Domain evidence'!$D$8:$D$73,"&gt;=0")=2),SUMIFS('Domain evidence'!$D$8:$D$73,'Domain evidence'!$A$8:$A$73,$A18),"")</x:f>
        <x:v>19.060000000000002</x:v>
      </x:c>
      <x:c r="J18" s="22" t="n">
        <x:f>IF(AND(COUNTIFS('Domain evidence'!$A$8:$A$73,$A18,'Domain evidence'!$E$8:$E$73,"&lt;&gt;")=2,COUNTIFS('Domain evidence'!$A$8:$A$73,$A18,'Domain evidence'!$E$8:$E$73,"&gt;=0")=2),SUMIFS('Domain evidence'!$E$8:$E$73,'Domain evidence'!$A$8:$A$73,$A18),"")</x:f>
        <x:v>22.92</x:v>
      </x:c>
      <x:c r="K18" s="18" t="str">
        <x:v>Additional ten</x:v>
      </x:c>
      <x:c r="L18" s="23" t="n">
        <x:v>46302.64545138889</x:v>
      </x:c>
    </x:row>
    <x:row r="19" ht="70" customHeight="1">
      <x:c r="A19" s="18" t="str">
        <x:v>Scripture in Frame</x:v>
      </x:c>
      <x:c r="B19" s="18" t="str">
        <x:v>Additional choice</x:v>
      </x:c>
      <x:c r="C19" s="19" t="str">
        <x:v>Particularly strong for Studio, Films and Illustrated under a separately named organization. Connects Scripture with both moving and still images.</x:v>
      </x:c>
      <x:c r="D19" s="19" t="str">
        <x:v>Easy phrase once Scripture is understood. Could be mistaken for framed Bible wall art and gives less emphasis to the source audio.</x:v>
      </x:c>
      <x:c r="E19" s="19" t="str">
        <x:v>No obvious exact-name business surfaced in the limited web check. Naming clearance is incomplete.</x:v>
      </x:c>
      <x:c r="F19" s="18" t="str">
        <x:f>IF(AND(COUNTIFS('Domain evidence'!$A$8:$A$73,$A19,'Domain evidence'!$C$8:$C$73,"Available standard registration")=2,ISNUMBER(I19),SUMIFS('Domain evidence'!$D$8:$D$73,'Domain evidence'!$B$8:$B$73,G19)&lt;=50),"Meets at check","Does not meet")</x:f>
        <x:v>Meets at check</x:v>
      </x:c>
      <x:c r="G19" s="18" t="str">
        <x:v>scriptureinframe.com</x:v>
      </x:c>
      <x:c r="H19" s="18" t="str">
        <x:v>scriptureinframe.org</x:v>
      </x:c>
      <x:c r="I19" s="22" t="n">
        <x:f>IF(AND(COUNTIFS('Domain evidence'!$A$8:$A$73,$A19,'Domain evidence'!$D$8:$D$73,"&lt;&gt;")=2,COUNTIFS('Domain evidence'!$A$8:$A$73,$A19,'Domain evidence'!$D$8:$D$73,"&gt;=0")=2),SUMIFS('Domain evidence'!$D$8:$D$73,'Domain evidence'!$A$8:$A$73,$A19),"")</x:f>
        <x:v>19.060000000000002</x:v>
      </x:c>
      <x:c r="J19" s="22" t="n">
        <x:f>IF(AND(COUNTIFS('Domain evidence'!$A$8:$A$73,$A19,'Domain evidence'!$E$8:$E$73,"&lt;&gt;")=2,COUNTIFS('Domain evidence'!$A$8:$A$73,$A19,'Domain evidence'!$E$8:$E$73,"&gt;=0")=2),SUMIFS('Domain evidence'!$E$8:$E$73,'Domain evidence'!$A$8:$A$73,$A19),"")</x:f>
        <x:v>22.92</x:v>
      </x:c>
      <x:c r="K19" s="18" t="str">
        <x:v>Additional ten</x:v>
      </x:c>
      <x:c r="L19" s="23" t="n">
        <x:v>46302.64545138889</x:v>
      </x:c>
    </x:row>
    <x:row r="20" ht="70" customHeight="1">
      <x:c r="A20" s="18" t="str">
        <x:v>VerseLantern</x:v>
      </x:c>
      <x:c r="B20" s="18" t="str">
        <x:v>Additional choice</x:v>
      </x:c>
      <x:c r="C20" s="19" t="str">
        <x:v>Shared umbrella or film/illustrated label. A shorter visual metaphor than ScriptureLantern.</x:v>
      </x:c>
      <x:c r="D20" s="19" t="str">
        <x:v>Approximately "VURS LAN-tern." Easy to say, but Verse also means poetry and may suggest isolated verses rather than complete chapters.</x:v>
      </x:c>
      <x:c r="E20" s="19" t="str">
        <x:v>No obvious exact-name business surfaced in the limited web check. Naming clearance is incomplete.</x:v>
      </x:c>
      <x:c r="F20" s="18" t="str">
        <x:f>IF(AND(COUNTIFS('Domain evidence'!$A$8:$A$73,$A20,'Domain evidence'!$C$8:$C$73,"Available standard registration")=2,ISNUMBER(I20),SUMIFS('Domain evidence'!$D$8:$D$73,'Domain evidence'!$B$8:$B$73,G20)&lt;=50),"Meets at check","Does not meet")</x:f>
        <x:v>Meets at check</x:v>
      </x:c>
      <x:c r="G20" s="18" t="str">
        <x:v>verselantern.com</x:v>
      </x:c>
      <x:c r="H20" s="18" t="str">
        <x:v>verselantern.org</x:v>
      </x:c>
      <x:c r="I20" s="22" t="n">
        <x:f>IF(AND(COUNTIFS('Domain evidence'!$A$8:$A$73,$A20,'Domain evidence'!$D$8:$D$73,"&lt;&gt;")=2,COUNTIFS('Domain evidence'!$A$8:$A$73,$A20,'Domain evidence'!$D$8:$D$73,"&gt;=0")=2),SUMIFS('Domain evidence'!$D$8:$D$73,'Domain evidence'!$A$8:$A$73,$A20),"")</x:f>
        <x:v>19.060000000000002</x:v>
      </x:c>
      <x:c r="J20" s="22" t="n">
        <x:f>IF(AND(COUNTIFS('Domain evidence'!$A$8:$A$73,$A20,'Domain evidence'!$E$8:$E$73,"&lt;&gt;")=2,COUNTIFS('Domain evidence'!$A$8:$A$73,$A20,'Domain evidence'!$E$8:$E$73,"&gt;=0")=2),SUMIFS('Domain evidence'!$E$8:$E$73,'Domain evidence'!$A$8:$A$73,$A20),"")</x:f>
        <x:v>22.92</x:v>
      </x:c>
      <x:c r="K20" s="18" t="str">
        <x:v>Additional ten</x:v>
      </x:c>
      <x:c r="L20" s="23" t="n">
        <x:v>46302.646516203706</x:v>
      </x:c>
    </x:row>
    <x:row r="21" ht="70" customHeight="1">
      <x:c r="A21" s="18" t="str">
        <x:v>Word for Every Heart</x:v>
      </x:c>
      <x:c r="B21" s="18" t="str">
        <x:v>Additional choice</x:v>
      </x:c>
      <x:c r="C21" s="19" t="str">
        <x:v>Organization or public film family. Closest continuation of the existing heart-language purpose without the HeartWord compound.</x:v>
      </x:c>
      <x:c r="D21" s="19" t="str">
        <x:v>Familiar, warm wording, but a long name/domain. Closely resembles existing ministry taglines, so it ranks below the first three.</x:v>
      </x:c>
      <x:c r="E21" s="19" t="str">
        <x:v>Similar Word International and Wycliffe mission wording.</x:v>
      </x:c>
      <x:c r="F21" s="18" t="str">
        <x:f>IF(AND(COUNTIFS('Domain evidence'!$A$8:$A$73,$A21,'Domain evidence'!$C$8:$C$73,"Available standard registration")=2,ISNUMBER(I21),SUMIFS('Domain evidence'!$D$8:$D$73,'Domain evidence'!$B$8:$B$73,G21)&lt;=50),"Meets at check","Does not meet")</x:f>
        <x:v>Meets at check</x:v>
      </x:c>
      <x:c r="G21" s="18" t="str">
        <x:v>wordforeveryheart.com</x:v>
      </x:c>
      <x:c r="H21" s="18" t="str">
        <x:v>wordforeveryheart.org</x:v>
      </x:c>
      <x:c r="I21" s="22" t="n">
        <x:f>IF(AND(COUNTIFS('Domain evidence'!$A$8:$A$73,$A21,'Domain evidence'!$D$8:$D$73,"&lt;&gt;")=2,COUNTIFS('Domain evidence'!$A$8:$A$73,$A21,'Domain evidence'!$D$8:$D$73,"&gt;=0")=2),SUMIFS('Domain evidence'!$D$8:$D$73,'Domain evidence'!$A$8:$A$73,$A21),"")</x:f>
        <x:v>19.060000000000002</x:v>
      </x:c>
      <x:c r="J21" s="22" t="n">
        <x:f>IF(AND(COUNTIFS('Domain evidence'!$A$8:$A$73,$A21,'Domain evidence'!$E$8:$E$73,"&lt;&gt;")=2,COUNTIFS('Domain evidence'!$A$8:$A$73,$A21,'Domain evidence'!$E$8:$E$73,"&gt;=0")=2),SUMIFS('Domain evidence'!$E$8:$E$73,'Domain evidence'!$A$8:$A$73,$A21),"")</x:f>
        <x:v>22.92</x:v>
      </x:c>
      <x:c r="K21" s="18" t="str">
        <x:v>Additional ten</x:v>
      </x:c>
      <x:c r="L21" s="23" t="n">
        <x:v>46302.646516203706</x:v>
      </x:c>
    </x:row>
    <x:row r="22" ht="70" customHeight="1">
      <x:c r="A22" s="18" t="str">
        <x:v>Word and Scene</x:v>
      </x:c>
      <x:c r="B22" s="18" t="str">
        <x:v>Leading studio option</x:v>
      </x:c>
      <x:c r="C22" s="19" t="str">
        <x:v>Studio or shared family. Connects source wording with visual storytelling using familiar words.</x:v>
      </x:c>
      <x:c r="D22" s="19" t="str">
        <x:v>Easy to say; Scene can be heard as Seen. It could describe general writing/film work, so the Scripture/heart-language tagline matters.</x:v>
      </x:c>
      <x:c r="E22" s="19" t="str">
        <x:v>No obvious exact-name business surfaced in the limited web check. Naming clearance is incomplete.</x:v>
      </x:c>
      <x:c r="F22" s="18" t="str">
        <x:f>IF(AND(COUNTIFS('Domain evidence'!$A$8:$A$73,$A22,'Domain evidence'!$C$8:$C$73,"Available standard registration")=2,ISNUMBER(I22),SUMIFS('Domain evidence'!$D$8:$D$73,'Domain evidence'!$B$8:$B$73,G22)&lt;=50),"Meets at check","Does not meet")</x:f>
        <x:v>Meets at check</x:v>
      </x:c>
      <x:c r="G22" s="18" t="str">
        <x:v>wordandscene.com</x:v>
      </x:c>
      <x:c r="H22" s="18" t="str">
        <x:v>wordandscene.org</x:v>
      </x:c>
      <x:c r="I22" s="22" t="n">
        <x:f>IF(AND(COUNTIFS('Domain evidence'!$A$8:$A$73,$A22,'Domain evidence'!$D$8:$D$73,"&lt;&gt;")=2,COUNTIFS('Domain evidence'!$A$8:$A$73,$A22,'Domain evidence'!$D$8:$D$73,"&gt;=0")=2),SUMIFS('Domain evidence'!$D$8:$D$73,'Domain evidence'!$A$8:$A$73,$A22),"")</x:f>
        <x:v>18.87</x:v>
      </x:c>
      <x:c r="J22" s="22" t="n">
        <x:f>IF(AND(COUNTIFS('Domain evidence'!$A$8:$A$73,$A22,'Domain evidence'!$E$8:$E$73,"&lt;&gt;")=2,COUNTIFS('Domain evidence'!$A$8:$A$73,$A22,'Domain evidence'!$E$8:$E$73,"&gt;=0")=2),SUMIFS('Domain evidence'!$E$8:$E$73,'Domain evidence'!$A$8:$A$73,$A22),"")</x:f>
        <x:v>22.520000000000003</x:v>
      </x:c>
      <x:c r="K22" s="18" t="str">
        <x:v>Further ten</x:v>
      </x:c>
      <x:c r="L22" s="23" t="n">
        <x:v>46302.65967592593</x:v>
      </x:c>
    </x:row>
    <x:row r="23" ht="70" customHeight="1">
      <x:c r="A23" s="18" t="str">
        <x:v>Scripture and Light</x:v>
      </x:c>
      <x:c r="B23" s="18" t="str">
        <x:v>Leading shared brand</x:v>
      </x:c>
      <x:c r="C23" s="19" t="str">
        <x:v>Organization and shared Studio/Films/Illustrated family. Scripture is explicit; Light accommodates both cinema and illustration.</x:v>
      </x:c>
      <x:c r="D23" s="19" t="str">
        <x:v>Familiar image and rhythm, but a longer introduction. Scripture can be harder to pronounce or spell; the name may suggest a devotional publisher.</x:v>
      </x:c>
      <x:c r="E23" s="19" t="str">
        <x:v>Ordinary phrase in a historical church devotional. No exact business surfaced in the limited check.</x:v>
      </x:c>
      <x:c r="F23" s="18" t="str">
        <x:f>IF(AND(COUNTIFS('Domain evidence'!$A$8:$A$73,$A23,'Domain evidence'!$C$8:$C$73,"Available standard registration")=2,ISNUMBER(I23),SUMIFS('Domain evidence'!$D$8:$D$73,'Domain evidence'!$B$8:$B$73,G23)&lt;=50),"Meets at check","Does not meet")</x:f>
        <x:v>Meets at check</x:v>
      </x:c>
      <x:c r="G23" s="18" t="str">
        <x:v>scriptureandlight.com</x:v>
      </x:c>
      <x:c r="H23" s="18" t="str">
        <x:v>scriptureandlight.org</x:v>
      </x:c>
      <x:c r="I23" s="22" t="n">
        <x:f>IF(AND(COUNTIFS('Domain evidence'!$A$8:$A$73,$A23,'Domain evidence'!$D$8:$D$73,"&lt;&gt;")=2,COUNTIFS('Domain evidence'!$A$8:$A$73,$A23,'Domain evidence'!$D$8:$D$73,"&gt;=0")=2),SUMIFS('Domain evidence'!$D$8:$D$73,'Domain evidence'!$A$8:$A$73,$A23),"")</x:f>
        <x:v>18.87</x:v>
      </x:c>
      <x:c r="J23" s="22" t="n">
        <x:f>IF(AND(COUNTIFS('Domain evidence'!$A$8:$A$73,$A23,'Domain evidence'!$E$8:$E$73,"&lt;&gt;")=2,COUNTIFS('Domain evidence'!$A$8:$A$73,$A23,'Domain evidence'!$E$8:$E$73,"&gt;=0")=2),SUMIFS('Domain evidence'!$E$8:$E$73,'Domain evidence'!$A$8:$A$73,$A23),"")</x:f>
        <x:v>22.520000000000003</x:v>
      </x:c>
      <x:c r="K23" s="18" t="str">
        <x:v>Further ten</x:v>
      </x:c>
      <x:c r="L23" s="23" t="n">
        <x:v>46302.65967592593</x:v>
      </x:c>
    </x:row>
    <x:row r="24" ht="70" customHeight="1">
      <x:c r="A24" s="18" t="str">
        <x:v>Source and Frame</x:v>
      </x:c>
      <x:c r="B24" s="18" t="str">
        <x:v>Leading studio option</x:v>
      </x:c>
      <x:c r="C24" s="19" t="str">
        <x:v>Studio, especially if the organization keeps a separate name. Expresses fidelity to an existing source and its visual presentation.</x:v>
      </x:c>
      <x:c r="D24" s="19" t="str">
        <x:v>Familiar words and easy repetition. Scripture and heart languages are not explicit; it could sound like a general creative agency.</x:v>
      </x:c>
      <x:c r="E24" s="19" t="str">
        <x:v>No obvious exact-name business surfaced in the limited web check. Naming clearance is incomplete.</x:v>
      </x:c>
      <x:c r="F24" s="18" t="str">
        <x:f>IF(AND(COUNTIFS('Domain evidence'!$A$8:$A$73,$A24,'Domain evidence'!$C$8:$C$73,"Available standard registration")=2,ISNUMBER(I24),SUMIFS('Domain evidence'!$D$8:$D$73,'Domain evidence'!$B$8:$B$73,G24)&lt;=50),"Meets at check","Does not meet")</x:f>
        <x:v>Meets at check</x:v>
      </x:c>
      <x:c r="G24" s="18" t="str">
        <x:v>sourceandframe.com</x:v>
      </x:c>
      <x:c r="H24" s="18" t="str">
        <x:v>sourceandframe.org</x:v>
      </x:c>
      <x:c r="I24" s="22" t="n">
        <x:f>IF(AND(COUNTIFS('Domain evidence'!$A$8:$A$73,$A24,'Domain evidence'!$D$8:$D$73,"&lt;&gt;")=2,COUNTIFS('Domain evidence'!$A$8:$A$73,$A24,'Domain evidence'!$D$8:$D$73,"&gt;=0")=2),SUMIFS('Domain evidence'!$D$8:$D$73,'Domain evidence'!$A$8:$A$73,$A24),"")</x:f>
        <x:v>18.87</x:v>
      </x:c>
      <x:c r="J24" s="22" t="n">
        <x:f>IF(AND(COUNTIFS('Domain evidence'!$A$8:$A$73,$A24,'Domain evidence'!$E$8:$E$73,"&lt;&gt;")=2,COUNTIFS('Domain evidence'!$A$8:$A$73,$A24,'Domain evidence'!$E$8:$E$73,"&gt;=0")=2),SUMIFS('Domain evidence'!$E$8:$E$73,'Domain evidence'!$A$8:$A$73,$A24),"")</x:f>
        <x:v>22.520000000000003</x:v>
      </x:c>
      <x:c r="K24" s="18" t="str">
        <x:v>Further ten</x:v>
      </x:c>
      <x:c r="L24" s="23" t="n">
        <x:v>46302.65967592593</x:v>
      </x:c>
    </x:row>
    <x:row r="25" ht="70" customHeight="1">
      <x:c r="A25" s="18" t="str">
        <x:v>VillageWord</x:v>
      </x:c>
      <x:c r="B25" s="18" t="str">
        <x:v>Additional choice</x:v>
      </x:c>
      <x:c r="C25" s="19" t="str">
        <x:v>Organization or shared family. Compact and warm, with a community association.</x:v>
      </x:c>
      <x:c r="D25" s="19" t="str">
        <x:v>Approximately "VIL-ij word." Could sound like a local newsletter or imply only rural audiences; that implication would need testing against the actual mission.</x:v>
      </x:c>
      <x:c r="E25" s="19" t="str">
        <x:v>No obvious exact-name business surfaced in the limited web check. Naming clearance is incomplete.</x:v>
      </x:c>
      <x:c r="F25" s="18" t="str">
        <x:f>IF(AND(COUNTIFS('Domain evidence'!$A$8:$A$73,$A25,'Domain evidence'!$C$8:$C$73,"Available standard registration")=2,ISNUMBER(I25),SUMIFS('Domain evidence'!$D$8:$D$73,'Domain evidence'!$B$8:$B$73,G25)&lt;=50),"Meets at check","Does not meet")</x:f>
        <x:v>Meets at check</x:v>
      </x:c>
      <x:c r="G25" s="18" t="str">
        <x:v>villageword.com</x:v>
      </x:c>
      <x:c r="H25" s="18" t="str">
        <x:v>villageword.org</x:v>
      </x:c>
      <x:c r="I25" s="22" t="n">
        <x:f>IF(AND(COUNTIFS('Domain evidence'!$A$8:$A$73,$A25,'Domain evidence'!$D$8:$D$73,"&lt;&gt;")=2,COUNTIFS('Domain evidence'!$A$8:$A$73,$A25,'Domain evidence'!$D$8:$D$73,"&gt;=0")=2),SUMIFS('Domain evidence'!$D$8:$D$73,'Domain evidence'!$A$8:$A$73,$A25),"")</x:f>
        <x:v>18.87</x:v>
      </x:c>
      <x:c r="J25" s="22" t="n">
        <x:f>IF(AND(COUNTIFS('Domain evidence'!$A$8:$A$73,$A25,'Domain evidence'!$E$8:$E$73,"&lt;&gt;")=2,COUNTIFS('Domain evidence'!$A$8:$A$73,$A25,'Domain evidence'!$E$8:$E$73,"&gt;=0")=2),SUMIFS('Domain evidence'!$E$8:$E$73,'Domain evidence'!$A$8:$A$73,$A25),"")</x:f>
        <x:v>22.520000000000003</x:v>
      </x:c>
      <x:c r="K25" s="18" t="str">
        <x:v>Further ten</x:v>
      </x:c>
      <x:c r="L25" s="23" t="n">
        <x:v>46302.65967592593</x:v>
      </x:c>
    </x:row>
    <x:row r="26" ht="70" customHeight="1">
      <x:c r="A26" s="18" t="str">
        <x:v>Chapter to Screen</x:v>
      </x:c>
      <x:c r="B26" s="18" t="str">
        <x:v>Additional choice</x:v>
      </x:c>
      <x:c r="C26" s="19" t="str">
        <x:v>Studio or film-production label. States the chapter-to-video workflow clearly.</x:v>
      </x:c>
      <x:c r="D26" s="19" t="str">
        <x:v>Familiar words and a memorable sequence. Sounds like a general book-adaptation service, and is less suitable for an organization that also produces illustrated Scripture.</x:v>
      </x:c>
      <x:c r="E26" s="19" t="str">
        <x:v>No obvious exact-name business surfaced in the limited web check. Naming clearance is incomplete.</x:v>
      </x:c>
      <x:c r="F26" s="18" t="str">
        <x:f>IF(AND(COUNTIFS('Domain evidence'!$A$8:$A$73,$A26,'Domain evidence'!$C$8:$C$73,"Available standard registration")=2,ISNUMBER(I26),SUMIFS('Domain evidence'!$D$8:$D$73,'Domain evidence'!$B$8:$B$73,G26)&lt;=50),"Meets at check","Does not meet")</x:f>
        <x:v>Meets at check</x:v>
      </x:c>
      <x:c r="G26" s="18" t="str">
        <x:v>chaptertoscreen.com</x:v>
      </x:c>
      <x:c r="H26" s="18" t="str">
        <x:v>chaptertoscreen.org</x:v>
      </x:c>
      <x:c r="I26" s="22" t="n">
        <x:f>IF(AND(COUNTIFS('Domain evidence'!$A$8:$A$73,$A26,'Domain evidence'!$D$8:$D$73,"&lt;&gt;")=2,COUNTIFS('Domain evidence'!$A$8:$A$73,$A26,'Domain evidence'!$D$8:$D$73,"&gt;=0")=2),SUMIFS('Domain evidence'!$D$8:$D$73,'Domain evidence'!$A$8:$A$73,$A26),"")</x:f>
        <x:v>18.87</x:v>
      </x:c>
      <x:c r="J26" s="22" t="n">
        <x:f>IF(AND(COUNTIFS('Domain evidence'!$A$8:$A$73,$A26,'Domain evidence'!$E$8:$E$73,"&lt;&gt;")=2,COUNTIFS('Domain evidence'!$A$8:$A$73,$A26,'Domain evidence'!$E$8:$E$73,"&gt;=0")=2),SUMIFS('Domain evidence'!$E$8:$E$73,'Domain evidence'!$A$8:$A$73,$A26),"")</x:f>
        <x:v>22.520000000000003</x:v>
      </x:c>
      <x:c r="K26" s="18" t="str">
        <x:v>Further ten</x:v>
      </x:c>
      <x:c r="L26" s="23" t="n">
        <x:v>46302.65967592593</x:v>
      </x:c>
    </x:row>
    <x:row r="27" ht="70" customHeight="1">
      <x:c r="A27" s="18" t="str">
        <x:v>Scripture on Film</x:v>
      </x:c>
      <x:c r="B27" s="18" t="str">
        <x:v>Additional choice</x:v>
      </x:c>
      <x:c r="C27" s="19" t="str">
        <x:v>Separate film label. The subject and output are immediately clear.</x:v>
      </x:c>
      <x:c r="D27" s="19" t="str">
        <x:v>Easy phrase once Scripture is understood. Highly descriptive and too film-specific for the software or a shared illustrated-output umbrella.</x:v>
      </x:c>
      <x:c r="E27" s="19" t="str">
        <x:v>No obvious exact-name business surfaced in the limited web check. Naming clearance is incomplete.</x:v>
      </x:c>
      <x:c r="F27" s="18" t="str">
        <x:f>IF(AND(COUNTIFS('Domain evidence'!$A$8:$A$73,$A27,'Domain evidence'!$C$8:$C$73,"Available standard registration")=2,ISNUMBER(I27),SUMIFS('Domain evidence'!$D$8:$D$73,'Domain evidence'!$B$8:$B$73,G27)&lt;=50),"Meets at check","Does not meet")</x:f>
        <x:v>Meets at check</x:v>
      </x:c>
      <x:c r="G27" s="18" t="str">
        <x:v>scriptureonfilm.com</x:v>
      </x:c>
      <x:c r="H27" s="18" t="str">
        <x:v>scriptureonfilm.org</x:v>
      </x:c>
      <x:c r="I27" s="22" t="n">
        <x:f>IF(AND(COUNTIFS('Domain evidence'!$A$8:$A$73,$A27,'Domain evidence'!$D$8:$D$73,"&lt;&gt;")=2,COUNTIFS('Domain evidence'!$A$8:$A$73,$A27,'Domain evidence'!$D$8:$D$73,"&gt;=0")=2),SUMIFS('Domain evidence'!$D$8:$D$73,'Domain evidence'!$A$8:$A$73,$A27),"")</x:f>
        <x:v>18.87</x:v>
      </x:c>
      <x:c r="J27" s="22" t="n">
        <x:f>IF(AND(COUNTIFS('Domain evidence'!$A$8:$A$73,$A27,'Domain evidence'!$E$8:$E$73,"&lt;&gt;")=2,COUNTIFS('Domain evidence'!$A$8:$A$73,$A27,'Domain evidence'!$E$8:$E$73,"&gt;=0")=2),SUMIFS('Domain evidence'!$E$8:$E$73,'Domain evidence'!$A$8:$A$73,$A27),"")</x:f>
        <x:v>22.520000000000003</x:v>
      </x:c>
      <x:c r="K27" s="18" t="str">
        <x:v>Further ten</x:v>
      </x:c>
      <x:c r="L27" s="23" t="n">
        <x:v>46302.65967592593</x:v>
      </x:c>
    </x:row>
    <x:row r="28" ht="70" customHeight="1">
      <x:c r="A28" s="18" t="str">
        <x:v>ScriptureKindred</x:v>
      </x:c>
      <x:c r="B28" s="18" t="str">
        <x:v>Additional choice</x:v>
      </x:c>
      <x:c r="C28" s="19" t="str">
        <x:v>Organization or shared family. Scripture plus people/belonging, related in direction to the earlier ScriptureKin option.</x:v>
      </x:c>
      <x:c r="D28" s="19" t="str">
        <x:v>Approximately "SCRIPT-chur KIN-dred." Longer; Kindred may suggest family or ancestry rather than language access and production.</x:v>
      </x:c>
      <x:c r="E28" s="19" t="str">
        <x:v>No obvious exact-name business surfaced in the limited web check. Naming clearance is incomplete.</x:v>
      </x:c>
      <x:c r="F28" s="18" t="str">
        <x:f>IF(AND(COUNTIFS('Domain evidence'!$A$8:$A$73,$A28,'Domain evidence'!$C$8:$C$73,"Available standard registration")=2,ISNUMBER(I28),SUMIFS('Domain evidence'!$D$8:$D$73,'Domain evidence'!$B$8:$B$73,G28)&lt;=50),"Meets at check","Does not meet")</x:f>
        <x:v>Meets at check</x:v>
      </x:c>
      <x:c r="G28" s="18" t="str">
        <x:v>scripturekindred.com</x:v>
      </x:c>
      <x:c r="H28" s="18" t="str">
        <x:v>scripturekindred.org</x:v>
      </x:c>
      <x:c r="I28" s="22" t="n">
        <x:f>IF(AND(COUNTIFS('Domain evidence'!$A$8:$A$73,$A28,'Domain evidence'!$D$8:$D$73,"&lt;&gt;")=2,COUNTIFS('Domain evidence'!$A$8:$A$73,$A28,'Domain evidence'!$D$8:$D$73,"&gt;=0")=2),SUMIFS('Domain evidence'!$D$8:$D$73,'Domain evidence'!$A$8:$A$73,$A28),"")</x:f>
        <x:v>18.87</x:v>
      </x:c>
      <x:c r="J28" s="22" t="n">
        <x:f>IF(AND(COUNTIFS('Domain evidence'!$A$8:$A$73,$A28,'Domain evidence'!$E$8:$E$73,"&lt;&gt;")=2,COUNTIFS('Domain evidence'!$A$8:$A$73,$A28,'Domain evidence'!$E$8:$E$73,"&gt;=0")=2),SUMIFS('Domain evidence'!$E$8:$E$73,'Domain evidence'!$A$8:$A$73,$A28),"")</x:f>
        <x:v>22.520000000000003</x:v>
      </x:c>
      <x:c r="K28" s="18" t="str">
        <x:v>Further ten</x:v>
      </x:c>
      <x:c r="L28" s="23" t="n">
        <x:v>46302.65967592593</x:v>
      </x:c>
    </x:row>
    <x:row r="29" ht="70" customHeight="1">
      <x:c r="A29" s="18" t="str">
        <x:v>ScriptureField</x:v>
      </x:c>
      <x:c r="B29" s="18" t="str">
        <x:v>Additional choice</x:v>
      </x:c>
      <x:c r="C29" s="19" t="str">
        <x:v>Organization or shared family. A compact compound with possible community, fieldwork or wide-view associations.</x:v>
      </x:c>
      <x:c r="D29" s="19" t="str">
        <x:v>Approximately "SCRIPT-chur field." Its meaning is less immediate; it could sound like a Bible-study/research platform and needs explanation.</x:v>
      </x:c>
      <x:c r="E29" s="19" t="str">
        <x:v>No obvious exact-name business surfaced in the limited web check. Naming clearance is incomplete.</x:v>
      </x:c>
      <x:c r="F29" s="18" t="str">
        <x:f>IF(AND(COUNTIFS('Domain evidence'!$A$8:$A$73,$A29,'Domain evidence'!$C$8:$C$73,"Available standard registration")=2,ISNUMBER(I29),SUMIFS('Domain evidence'!$D$8:$D$73,'Domain evidence'!$B$8:$B$73,G29)&lt;=50),"Meets at check","Does not meet")</x:f>
        <x:v>Meets at check</x:v>
      </x:c>
      <x:c r="G29" s="18" t="str">
        <x:v>scripturefield.com</x:v>
      </x:c>
      <x:c r="H29" s="18" t="str">
        <x:v>scripturefield.org</x:v>
      </x:c>
      <x:c r="I29" s="22" t="n">
        <x:f>IF(AND(COUNTIFS('Domain evidence'!$A$8:$A$73,$A29,'Domain evidence'!$D$8:$D$73,"&lt;&gt;")=2,COUNTIFS('Domain evidence'!$A$8:$A$73,$A29,'Domain evidence'!$D$8:$D$73,"&gt;=0")=2),SUMIFS('Domain evidence'!$D$8:$D$73,'Domain evidence'!$A$8:$A$73,$A29),"")</x:f>
        <x:v>18.87</x:v>
      </x:c>
      <x:c r="J29" s="22" t="n">
        <x:f>IF(AND(COUNTIFS('Domain evidence'!$A$8:$A$73,$A29,'Domain evidence'!$E$8:$E$73,"&lt;&gt;")=2,COUNTIFS('Domain evidence'!$A$8:$A$73,$A29,'Domain evidence'!$E$8:$E$73,"&gt;=0")=2),SUMIFS('Domain evidence'!$E$8:$E$73,'Domain evidence'!$A$8:$A$73,$A29),"")</x:f>
        <x:v>22.520000000000003</x:v>
      </x:c>
      <x:c r="K29" s="18" t="str">
        <x:v>Further ten</x:v>
      </x:c>
      <x:c r="L29" s="23" t="n">
        <x:v>46302.65967592593</x:v>
      </x:c>
    </x:row>
    <x:row r="30" ht="70" customHeight="1">
      <x:c r="A30" s="18" t="str">
        <x:v>EveryVoice Scripture</x:v>
      </x:c>
      <x:c r="B30" s="18" t="str">
        <x:v>Additional choice</x:v>
      </x:c>
      <x:c r="C30" s="19" t="str">
        <x:v>Organization or shared family. Emphasizes people, languages and the existing audio foundation.</x:v>
      </x:c>
      <x:c r="D30" s="19" t="str">
        <x:v>Familiar words but a long introduction. Could suggest voice generation or translation; positioning must make preservation of existing recordings clear. Every is an aspiration, not completed coverage.</x:v>
      </x:c>
      <x:c r="E30" s="19" t="str">
        <x:v>No obvious exact-name business surfaced in the limited web check. Naming clearance is incomplete.</x:v>
      </x:c>
      <x:c r="F30" s="18" t="str">
        <x:f>IF(AND(COUNTIFS('Domain evidence'!$A$8:$A$73,$A30,'Domain evidence'!$C$8:$C$73,"Available standard registration")=2,ISNUMBER(I30),SUMIFS('Domain evidence'!$D$8:$D$73,'Domain evidence'!$B$8:$B$73,G30)&lt;=50),"Meets at check","Does not meet")</x:f>
        <x:v>Meets at check</x:v>
      </x:c>
      <x:c r="G30" s="18" t="str">
        <x:v>everyvoicescripture.com</x:v>
      </x:c>
      <x:c r="H30" s="18" t="str">
        <x:v>everyvoicescripture.org</x:v>
      </x:c>
      <x:c r="I30" s="22" t="n">
        <x:f>IF(AND(COUNTIFS('Domain evidence'!$A$8:$A$73,$A30,'Domain evidence'!$D$8:$D$73,"&lt;&gt;")=2,COUNTIFS('Domain evidence'!$A$8:$A$73,$A30,'Domain evidence'!$D$8:$D$73,"&gt;=0")=2),SUMIFS('Domain evidence'!$D$8:$D$73,'Domain evidence'!$A$8:$A$73,$A30),"")</x:f>
        <x:v>18.87</x:v>
      </x:c>
      <x:c r="J30" s="22" t="n">
        <x:f>IF(AND(COUNTIFS('Domain evidence'!$A$8:$A$73,$A30,'Domain evidence'!$E$8:$E$73,"&lt;&gt;")=2,COUNTIFS('Domain evidence'!$A$8:$A$73,$A30,'Domain evidence'!$E$8:$E$73,"&gt;=0")=2),SUMIFS('Domain evidence'!$E$8:$E$73,'Domain evidence'!$A$8:$A$73,$A30),"")</x:f>
        <x:v>22.520000000000003</x:v>
      </x:c>
      <x:c r="K30" s="18" t="str">
        <x:v>Further ten</x:v>
      </x:c>
      <x:c r="L30" s="23" t="n">
        <x:v>46302.65967592593</x:v>
      </x:c>
    </x:row>
    <x:row r="31" ht="70" customHeight="1">
      <x:c r="A31" s="18" t="str">
        <x:v>Word Around Us</x:v>
      </x:c>
      <x:c r="B31" s="18" t="str">
        <x:v>Additional choice</x:v>
      </x:c>
      <x:c r="C31" s="19" t="str">
        <x:v>Organization or shared family. Warm, relational wording with simple spoken words.</x:v>
      </x:c>
      <x:c r="D31" s="19" t="str">
        <x:v>Purpose is abstract, and it resembles the established devotional name The Word Among Us. Lower-ranked because of that nearby use.</x:v>
      </x:c>
      <x:c r="E31" s="19" t="str">
        <x:v>Nearby Scripture-category publication: The Word Among Us.</x:v>
      </x:c>
      <x:c r="F31" s="18" t="str">
        <x:f>IF(AND(COUNTIFS('Domain evidence'!$A$8:$A$73,$A31,'Domain evidence'!$C$8:$C$73,"Available standard registration")=2,ISNUMBER(I31),SUMIFS('Domain evidence'!$D$8:$D$73,'Domain evidence'!$B$8:$B$73,G31)&lt;=50),"Meets at check","Does not meet")</x:f>
        <x:v>Meets at check</x:v>
      </x:c>
      <x:c r="G31" s="18" t="str">
        <x:v>wordaroundus.com</x:v>
      </x:c>
      <x:c r="H31" s="18" t="str">
        <x:v>wordaroundus.org</x:v>
      </x:c>
      <x:c r="I31" s="22" t="n">
        <x:f>IF(AND(COUNTIFS('Domain evidence'!$A$8:$A$73,$A31,'Domain evidence'!$D$8:$D$73,"&lt;&gt;")=2,COUNTIFS('Domain evidence'!$A$8:$A$73,$A31,'Domain evidence'!$D$8:$D$73,"&gt;=0")=2),SUMIFS('Domain evidence'!$D$8:$D$73,'Domain evidence'!$A$8:$A$73,$A31),"")</x:f>
        <x:v>18.87</x:v>
      </x:c>
      <x:c r="J31" s="22" t="n">
        <x:f>IF(AND(COUNTIFS('Domain evidence'!$A$8:$A$73,$A31,'Domain evidence'!$E$8:$E$73,"&lt;&gt;")=2,COUNTIFS('Domain evidence'!$A$8:$A$73,$A31,'Domain evidence'!$E$8:$E$73,"&gt;=0")=2),SUMIFS('Domain evidence'!$E$8:$E$73,'Domain evidence'!$A$8:$A$73,$A31),"")</x:f>
        <x:v>22.520000000000003</x:v>
      </x:c>
      <x:c r="K31" s="18" t="str">
        <x:v>Further ten</x:v>
      </x:c>
      <x:c r="L31" s="23" t="n">
        <x:v>46302.65967592593</x:v>
      </x:c>
    </x:row>
    <x:row r="32" ht="70" customHeight="1">
      <x:c r="A32" s="18" t="str">
        <x:v>Word and Light</x:v>
      </x:c>
      <x:c r="B32" s="18" t="str">
        <x:v>Exclude: domains taken</x:v>
      </x:c>
      <x:c r="C32" s="19" t="str">
        <x:v>Easy to say. Connects a Scripture association with visual storytelling.</x:v>
      </x:c>
      <x:c r="D32" s="19" t="str">
        <x:v>Both required domains are taken. Existing creative-sector use of the same spoken name. Excluded under the agreed registration requirement.</x:v>
      </x:c>
      <x:c r="E32" s="19" t="str">
        <x:v>Exact spoken name used by Word + Light Agency for branding, design and film-related work.</x:v>
      </x:c>
      <x:c r="F32" s="18" t="str">
        <x:f>IF(AND(COUNTIFS('Domain evidence'!$A$8:$A$73,$A32,'Domain evidence'!$C$8:$C$73,"Available standard registration")=2,ISNUMBER(I32),SUMIFS('Domain evidence'!$D$8:$D$73,'Domain evidence'!$B$8:$B$73,G32)&lt;=50),"Meets at check","Does not meet")</x:f>
        <x:v>Does not meet</x:v>
      </x:c>
      <x:c r="G32" s="18" t="str">
        <x:v>wordandlight.com</x:v>
      </x:c>
      <x:c r="H32" s="18" t="str">
        <x:v>wordandlight.org</x:v>
      </x:c>
      <x:c r="I32" s="22" t="str">
        <x:f>IF(AND(COUNTIFS('Domain evidence'!$A$8:$A$73,$A32,'Domain evidence'!$D$8:$D$73,"&lt;&gt;")=2,COUNTIFS('Domain evidence'!$A$8:$A$73,$A32,'Domain evidence'!$D$8:$D$73,"&gt;=0")=2),SUMIFS('Domain evidence'!$D$8:$D$73,'Domain evidence'!$A$8:$A$73,$A32),"")</x:f>
      </x:c>
      <x:c r="J32" s="22" t="str">
        <x:f>IF(AND(COUNTIFS('Domain evidence'!$A$8:$A$73,$A32,'Domain evidence'!$E$8:$E$73,"&lt;&gt;")=2,COUNTIFS('Domain evidence'!$A$8:$A$73,$A32,'Domain evidence'!$E$8:$E$73,"&gt;=0")=2),SUMIFS('Domain evidence'!$E$8:$E$73,'Domain evidence'!$A$8:$A$73,$A32),"")</x:f>
      </x:c>
      <x:c r="K32" s="18" t="str">
        <x:v>Dan's suggestion</x:v>
      </x:c>
      <x:c r="L32" s="23" t="n">
        <x:v>46302.66637731482</x:v>
      </x:c>
    </x:row>
    <x:row r="33" ht="70" customHeight="1">
      <x:c r="A33" s="18" t="str">
        <x:v>Scripture in Light</x:v>
      </x:c>
      <x:c r="B33" s="18" t="str">
        <x:v>Leading light umbrella</x:v>
      </x:c>
      <x:c r="C33" s="19" t="str">
        <x:v>Strongest shared umbrella in this batch. Scripture is explicit and Light connects naturally with film and illustration.</x:v>
      </x:c>
      <x:c r="D33" s="19" t="str">
        <x:v>Approximately "SCRIPT-chur in light." A clear phrase, but Scripture is harder to pronounce/spell than Word. Could suggest devotional publishing or Bible artwork rather than a studio; retain the mission tagline.</x:v>
      </x:c>
      <x:c r="E33" s="19" t="str">
        <x:v>No obvious exact-name business surfaced in the limited web check. Naming clearance is incomplete.</x:v>
      </x:c>
      <x:c r="F33" s="18" t="str">
        <x:f>IF(AND(COUNTIFS('Domain evidence'!$A$8:$A$73,$A33,'Domain evidence'!$C$8:$C$73,"Available standard registration")=2,ISNUMBER(I33),SUMIFS('Domain evidence'!$D$8:$D$73,'Domain evidence'!$B$8:$B$73,G33)&lt;=50),"Meets at check","Does not meet")</x:f>
        <x:v>Meets at check</x:v>
      </x:c>
      <x:c r="G33" s="18" t="str">
        <x:v>scriptureinlight.com</x:v>
      </x:c>
      <x:c r="H33" s="18" t="str">
        <x:v>scriptureinlight.org</x:v>
      </x:c>
      <x:c r="I33" s="22" t="n">
        <x:f>IF(AND(COUNTIFS('Domain evidence'!$A$8:$A$73,$A33,'Domain evidence'!$D$8:$D$73,"&lt;&gt;")=2,COUNTIFS('Domain evidence'!$A$8:$A$73,$A33,'Domain evidence'!$D$8:$D$73,"&gt;=0")=2),SUMIFS('Domain evidence'!$D$8:$D$73,'Domain evidence'!$A$8:$A$73,$A33),"")</x:f>
        <x:v>18.87</x:v>
      </x:c>
      <x:c r="J33" s="22" t="n">
        <x:f>IF(AND(COUNTIFS('Domain evidence'!$A$8:$A$73,$A33,'Domain evidence'!$E$8:$E$73,"&lt;&gt;")=2,COUNTIFS('Domain evidence'!$A$8:$A$73,$A33,'Domain evidence'!$E$8:$E$73,"&gt;=0")=2),SUMIFS('Domain evidence'!$E$8:$E$73,'Domain evidence'!$A$8:$A$73,$A33),"")</x:f>
        <x:v>22.520000000000003</x:v>
      </x:c>
      <x:c r="K33" s="18" t="str">
        <x:v>Light names</x:v>
      </x:c>
      <x:c r="L33" s="23" t="n">
        <x:v>46302.67157407408</x:v>
      </x:c>
    </x:row>
    <x:row r="34" ht="70" customHeight="1">
      <x:c r="A34" s="18" t="str">
        <x:v>Chapter in Light</x:v>
      </x:c>
      <x:c r="B34" s="18" t="str">
        <x:v>Leading light studio</x:v>
      </x:c>
      <x:c r="C34" s="19" t="str">
        <x:v>Strongest studio/film identity in this batch; also accommodates illustrated chapters. Connects complete chapters with visual presentation.</x:v>
      </x:c>
      <x:c r="D34" s="19" t="str">
        <x:v>Familiar words, approximately "CHAP-ter in light." Scripture and heart languages are not explicit, and Chapter could suggest general book adaptation.</x:v>
      </x:c>
      <x:c r="E34" s="19" t="str">
        <x:v>No obvious exact-name business surfaced in the limited web check. Naming clearance is incomplete.</x:v>
      </x:c>
      <x:c r="F34" s="18" t="str">
        <x:f>IF(AND(COUNTIFS('Domain evidence'!$A$8:$A$73,$A34,'Domain evidence'!$C$8:$C$73,"Available standard registration")=2,ISNUMBER(I34),SUMIFS('Domain evidence'!$D$8:$D$73,'Domain evidence'!$B$8:$B$73,G34)&lt;=50),"Meets at check","Does not meet")</x:f>
        <x:v>Meets at check</x:v>
      </x:c>
      <x:c r="G34" s="18" t="str">
        <x:v>chapterinlight.com</x:v>
      </x:c>
      <x:c r="H34" s="18" t="str">
        <x:v>chapterinlight.org</x:v>
      </x:c>
      <x:c r="I34" s="22" t="n">
        <x:f>IF(AND(COUNTIFS('Domain evidence'!$A$8:$A$73,$A34,'Domain evidence'!$D$8:$D$73,"&lt;&gt;")=2,COUNTIFS('Domain evidence'!$A$8:$A$73,$A34,'Domain evidence'!$D$8:$D$73,"&gt;=0")=2),SUMIFS('Domain evidence'!$D$8:$D$73,'Domain evidence'!$A$8:$A$73,$A34),"")</x:f>
        <x:v>18.87</x:v>
      </x:c>
      <x:c r="J34" s="22" t="n">
        <x:f>IF(AND(COUNTIFS('Domain evidence'!$A$8:$A$73,$A34,'Domain evidence'!$E$8:$E$73,"&lt;&gt;")=2,COUNTIFS('Domain evidence'!$A$8:$A$73,$A34,'Domain evidence'!$E$8:$E$73,"&gt;=0")=2),SUMIFS('Domain evidence'!$E$8:$E$73,'Domain evidence'!$A$8:$A$73,$A34),"")</x:f>
        <x:v>22.520000000000003</x:v>
      </x:c>
      <x:c r="K34" s="18" t="str">
        <x:v>Light names</x:v>
      </x:c>
      <x:c r="L34" s="23" t="n">
        <x:v>46302.67157407408</x:v>
      </x:c>
    </x:row>
    <x:row r="35" ht="70" customHeight="1">
      <x:c r="A35" s="18" t="str">
        <x:v>Word Into Light</x:v>
      </x:c>
      <x:c r="B35" s="18" t="str">
        <x:v>Additional choice</x:v>
      </x:c>
      <x:c r="C35" s="19" t="str">
        <x:v>Studio or shared family. A memorable progression from source wording to visual media.</x:v>
      </x:c>
      <x:c r="D35" s="19" t="str">
        <x:v>Four simple syllables in a typical English introduction. Needs positioning around faithful presentation rather than rewriting the Word; similar components to the existing Word + Light Agency deserve review.</x:v>
      </x:c>
      <x:c r="E35" s="19" t="str">
        <x:v>Similar components to the existing creative agency Word + Light.</x:v>
      </x:c>
      <x:c r="F35" s="18" t="str">
        <x:f>IF(AND(COUNTIFS('Domain evidence'!$A$8:$A$73,$A35,'Domain evidence'!$C$8:$C$73,"Available standard registration")=2,ISNUMBER(I35),SUMIFS('Domain evidence'!$D$8:$D$73,'Domain evidence'!$B$8:$B$73,G35)&lt;=50),"Meets at check","Does not meet")</x:f>
        <x:v>Meets at check</x:v>
      </x:c>
      <x:c r="G35" s="18" t="str">
        <x:v>wordintolight.com</x:v>
      </x:c>
      <x:c r="H35" s="18" t="str">
        <x:v>wordintolight.org</x:v>
      </x:c>
      <x:c r="I35" s="22" t="n">
        <x:f>IF(AND(COUNTIFS('Domain evidence'!$A$8:$A$73,$A35,'Domain evidence'!$D$8:$D$73,"&lt;&gt;")=2,COUNTIFS('Domain evidence'!$A$8:$A$73,$A35,'Domain evidence'!$D$8:$D$73,"&gt;=0")=2),SUMIFS('Domain evidence'!$D$8:$D$73,'Domain evidence'!$A$8:$A$73,$A35),"")</x:f>
        <x:v>18.87</x:v>
      </x:c>
      <x:c r="J35" s="22" t="n">
        <x:f>IF(AND(COUNTIFS('Domain evidence'!$A$8:$A$73,$A35,'Domain evidence'!$E$8:$E$73,"&lt;&gt;")=2,COUNTIFS('Domain evidence'!$A$8:$A$73,$A35,'Domain evidence'!$E$8:$E$73,"&gt;=0")=2),SUMIFS('Domain evidence'!$E$8:$E$73,'Domain evidence'!$A$8:$A$73,$A35),"")</x:f>
        <x:v>22.520000000000003</x:v>
      </x:c>
      <x:c r="K35" s="18" t="str">
        <x:v>Light names</x:v>
      </x:c>
      <x:c r="L35" s="23" t="n">
        <x:v>46302.67157407408</x:v>
      </x:c>
    </x:row>
    <x:row r="36" ht="70" customHeight="1">
      <x:c r="A36" s="18" t="str">
        <x:v>Light Across Languages</x:v>
      </x:c>
      <x:c r="B36" s="18" t="str">
        <x:v>Leading light organization</x:v>
      </x:c>
      <x:c r="C36" s="19" t="str">
        <x:v>Strongest organization name when language access should lead. Makes the cross-language mission explicit.</x:v>
      </x:c>
      <x:c r="D36" s="19" t="str">
        <x:v>Familiar words but a longer introduction/domain. Does not identify Scripture or production without a tagline, and could suggest a translation or language-learning service.</x:v>
      </x:c>
      <x:c r="E36" s="19" t="str">
        <x:v>No obvious exact-name business surfaced in the limited web check. Naming clearance is incomplete.</x:v>
      </x:c>
      <x:c r="F36" s="18" t="str">
        <x:f>IF(AND(COUNTIFS('Domain evidence'!$A$8:$A$73,$A36,'Domain evidence'!$C$8:$C$73,"Available standard registration")=2,ISNUMBER(I36),SUMIFS('Domain evidence'!$D$8:$D$73,'Domain evidence'!$B$8:$B$73,G36)&lt;=50),"Meets at check","Does not meet")</x:f>
        <x:v>Meets at check</x:v>
      </x:c>
      <x:c r="G36" s="18" t="str">
        <x:v>lightacrosslanguages.com</x:v>
      </x:c>
      <x:c r="H36" s="18" t="str">
        <x:v>lightacrosslanguages.org</x:v>
      </x:c>
      <x:c r="I36" s="22" t="n">
        <x:f>IF(AND(COUNTIFS('Domain evidence'!$A$8:$A$73,$A36,'Domain evidence'!$D$8:$D$73,"&lt;&gt;")=2,COUNTIFS('Domain evidence'!$A$8:$A$73,$A36,'Domain evidence'!$D$8:$D$73,"&gt;=0")=2),SUMIFS('Domain evidence'!$D$8:$D$73,'Domain evidence'!$A$8:$A$73,$A36),"")</x:f>
        <x:v>18.87</x:v>
      </x:c>
      <x:c r="J36" s="22" t="n">
        <x:f>IF(AND(COUNTIFS('Domain evidence'!$A$8:$A$73,$A36,'Domain evidence'!$E$8:$E$73,"&lt;&gt;")=2,COUNTIFS('Domain evidence'!$A$8:$A$73,$A36,'Domain evidence'!$E$8:$E$73,"&gt;=0")=2),SUMIFS('Domain evidence'!$E$8:$E$73,'Domain evidence'!$A$8:$A$73,$A36),"")</x:f>
        <x:v>22.520000000000003</x:v>
      </x:c>
      <x:c r="K36" s="18" t="str">
        <x:v>Light names</x:v>
      </x:c>
      <x:c r="L36" s="23" t="n">
        <x:v>46302.67157407408</x:v>
      </x:c>
    </x:row>
    <x:row r="37" ht="70" customHeight="1">
      <x:c r="A37" s="18" t="str">
        <x:v>Light in Every Tongue</x:v>
      </x:c>
      <x:c r="B37" s="18" t="str">
        <x:v>Additional choice</x:v>
      </x:c>
      <x:c r="C37" s="19" t="str">
        <x:v>Organization or shared family. Familiar biblical mission wording and an oral-language association.</x:v>
      </x:c>
      <x:c r="D37" s="19" t="str">
        <x:v>Easy rhythm, but Tongue has irregular spelling and a secondary anatomical meaning. Every describes the mission, not completed language coverage.</x:v>
      </x:c>
      <x:c r="E37" s="19" t="str">
        <x:v>No obvious exact-name business surfaced in the limited web check. Naming clearance is incomplete.</x:v>
      </x:c>
      <x:c r="F37" s="18" t="str">
        <x:f>IF(AND(COUNTIFS('Domain evidence'!$A$8:$A$73,$A37,'Domain evidence'!$C$8:$C$73,"Available standard registration")=2,ISNUMBER(I37),SUMIFS('Domain evidence'!$D$8:$D$73,'Domain evidence'!$B$8:$B$73,G37)&lt;=50),"Meets at check","Does not meet")</x:f>
        <x:v>Meets at check</x:v>
      </x:c>
      <x:c r="G37" s="18" t="str">
        <x:v>lightineverytongue.com</x:v>
      </x:c>
      <x:c r="H37" s="18" t="str">
        <x:v>lightineverytongue.org</x:v>
      </x:c>
      <x:c r="I37" s="22" t="n">
        <x:f>IF(AND(COUNTIFS('Domain evidence'!$A$8:$A$73,$A37,'Domain evidence'!$D$8:$D$73,"&lt;&gt;")=2,COUNTIFS('Domain evidence'!$A$8:$A$73,$A37,'Domain evidence'!$D$8:$D$73,"&gt;=0")=2),SUMIFS('Domain evidence'!$D$8:$D$73,'Domain evidence'!$A$8:$A$73,$A37),"")</x:f>
        <x:v>18.87</x:v>
      </x:c>
      <x:c r="J37" s="22" t="n">
        <x:f>IF(AND(COUNTIFS('Domain evidence'!$A$8:$A$73,$A37,'Domain evidence'!$E$8:$E$73,"&lt;&gt;")=2,COUNTIFS('Domain evidence'!$A$8:$A$73,$A37,'Domain evidence'!$E$8:$E$73,"&gt;=0")=2),SUMIFS('Domain evidence'!$E$8:$E$73,'Domain evidence'!$A$8:$A$73,$A37),"")</x:f>
        <x:v>22.520000000000003</x:v>
      </x:c>
      <x:c r="K37" s="18" t="str">
        <x:v>Light names</x:v>
      </x:c>
      <x:c r="L37" s="23" t="n">
        <x:v>46302.67157407408</x:v>
      </x:c>
    </x:row>
    <x:row r="38" ht="70" customHeight="1">
      <x:c r="A38" s="18" t="str">
        <x:v>Light in Our Language</x:v>
      </x:c>
      <x:c r="B38" s="18" t="str">
        <x:v>Additional choice</x:v>
      </x:c>
      <x:c r="C38" s="19" t="str">
        <x:v>Organization or public output family. Puts the community's own language at the center.</x:v>
      </x:c>
      <x:c r="D38" s="19" t="str">
        <x:v>Familiar and warm. Singular Language can suggest a one-language organization; Our depends on who is speaking. Test that viewpoint with partner communities.</x:v>
      </x:c>
      <x:c r="E38" s="19" t="str">
        <x:v>No obvious exact-name business surfaced in the limited web check. Naming clearance is incomplete.</x:v>
      </x:c>
      <x:c r="F38" s="18" t="str">
        <x:f>IF(AND(COUNTIFS('Domain evidence'!$A$8:$A$73,$A38,'Domain evidence'!$C$8:$C$73,"Available standard registration")=2,ISNUMBER(I38),SUMIFS('Domain evidence'!$D$8:$D$73,'Domain evidence'!$B$8:$B$73,G38)&lt;=50),"Meets at check","Does not meet")</x:f>
        <x:v>Meets at check</x:v>
      </x:c>
      <x:c r="G38" s="18" t="str">
        <x:v>lightinourlanguage.com</x:v>
      </x:c>
      <x:c r="H38" s="18" t="str">
        <x:v>lightinourlanguage.org</x:v>
      </x:c>
      <x:c r="I38" s="22" t="n">
        <x:f>IF(AND(COUNTIFS('Domain evidence'!$A$8:$A$73,$A38,'Domain evidence'!$D$8:$D$73,"&lt;&gt;")=2,COUNTIFS('Domain evidence'!$A$8:$A$73,$A38,'Domain evidence'!$D$8:$D$73,"&gt;=0")=2),SUMIFS('Domain evidence'!$D$8:$D$73,'Domain evidence'!$A$8:$A$73,$A38),"")</x:f>
        <x:v>18.87</x:v>
      </x:c>
      <x:c r="J38" s="22" t="n">
        <x:f>IF(AND(COUNTIFS('Domain evidence'!$A$8:$A$73,$A38,'Domain evidence'!$E$8:$E$73,"&lt;&gt;")=2,COUNTIFS('Domain evidence'!$A$8:$A$73,$A38,'Domain evidence'!$E$8:$E$73,"&gt;=0")=2),SUMIFS('Domain evidence'!$E$8:$E$73,'Domain evidence'!$A$8:$A$73,$A38),"")</x:f>
        <x:v>22.520000000000003</x:v>
      </x:c>
      <x:c r="K38" s="18" t="str">
        <x:v>Light names</x:v>
      </x:c>
      <x:c r="L38" s="23" t="n">
        <x:v>46302.67157407408</x:v>
      </x:c>
    </x:row>
    <x:row r="39" ht="70" customHeight="1">
      <x:c r="A39" s="18" t="str">
        <x:v>Light in Their Words</x:v>
      </x:c>
      <x:c r="B39" s="18" t="str">
        <x:v>Additional choice</x:v>
      </x:c>
      <x:c r="C39" s="19" t="str">
        <x:v>Organization or shared family. Connects source wording with local-language expression.</x:v>
      </x:c>
      <x:c r="D39" s="19" t="str">
        <x:v>Simple words and a memorable phrase. Their can place the audience at a distance; Scripture is not explicit, and the name could suggest oral history or general publishing.</x:v>
      </x:c>
      <x:c r="E39" s="19" t="str">
        <x:v>No obvious exact-name business surfaced in the limited web check. Naming clearance is incomplete.</x:v>
      </x:c>
      <x:c r="F39" s="18" t="str">
        <x:f>IF(AND(COUNTIFS('Domain evidence'!$A$8:$A$73,$A39,'Domain evidence'!$C$8:$C$73,"Available standard registration")=2,ISNUMBER(I39),SUMIFS('Domain evidence'!$D$8:$D$73,'Domain evidence'!$B$8:$B$73,G39)&lt;=50),"Meets at check","Does not meet")</x:f>
        <x:v>Meets at check</x:v>
      </x:c>
      <x:c r="G39" s="18" t="str">
        <x:v>lightintheirwords.com</x:v>
      </x:c>
      <x:c r="H39" s="18" t="str">
        <x:v>lightintheirwords.org</x:v>
      </x:c>
      <x:c r="I39" s="22" t="n">
        <x:f>IF(AND(COUNTIFS('Domain evidence'!$A$8:$A$73,$A39,'Domain evidence'!$D$8:$D$73,"&lt;&gt;")=2,COUNTIFS('Domain evidence'!$A$8:$A$73,$A39,'Domain evidence'!$D$8:$D$73,"&gt;=0")=2),SUMIFS('Domain evidence'!$D$8:$D$73,'Domain evidence'!$A$8:$A$73,$A39),"")</x:f>
        <x:v>18.87</x:v>
      </x:c>
      <x:c r="J39" s="22" t="n">
        <x:f>IF(AND(COUNTIFS('Domain evidence'!$A$8:$A$73,$A39,'Domain evidence'!$E$8:$E$73,"&lt;&gt;")=2,COUNTIFS('Domain evidence'!$A$8:$A$73,$A39,'Domain evidence'!$E$8:$E$73,"&gt;=0")=2),SUMIFS('Domain evidence'!$E$8:$E$73,'Domain evidence'!$A$8:$A$73,$A39),"")</x:f>
        <x:v>22.520000000000003</x:v>
      </x:c>
      <x:c r="K39" s="18" t="str">
        <x:v>Light names</x:v>
      </x:c>
      <x:c r="L39" s="23" t="n">
        <x:v>46302.67157407408</x:v>
      </x:c>
    </x:row>
    <x:row r="40" ht="70" customHeight="1">
      <x:c r="A40" s="18" t="str">
        <x:v>Light by the Word</x:v>
      </x:c>
      <x:c r="B40" s="18" t="str">
        <x:v>Additional choice</x:v>
      </x:c>
      <x:c r="C40" s="19" t="str">
        <x:v>Organization or shared family. Keeps the Word as the source of the light metaphor.</x:v>
      </x:c>
      <x:c r="D40" s="19" t="str">
        <x:v>Four familiar spoken words. More likely to sound like a devotional ministry than a production studio; the language/visual purpose needs the tagline.</x:v>
      </x:c>
      <x:c r="E40" s="19" t="str">
        <x:v>No obvious exact-name business surfaced in the limited web check. Naming clearance is incomplete.</x:v>
      </x:c>
      <x:c r="F40" s="18" t="str">
        <x:f>IF(AND(COUNTIFS('Domain evidence'!$A$8:$A$73,$A40,'Domain evidence'!$C$8:$C$73,"Available standard registration")=2,ISNUMBER(I40),SUMIFS('Domain evidence'!$D$8:$D$73,'Domain evidence'!$B$8:$B$73,G40)&lt;=50),"Meets at check","Does not meet")</x:f>
        <x:v>Meets at check</x:v>
      </x:c>
      <x:c r="G40" s="18" t="str">
        <x:v>lightbytheword.com</x:v>
      </x:c>
      <x:c r="H40" s="18" t="str">
        <x:v>lightbytheword.org</x:v>
      </x:c>
      <x:c r="I40" s="22" t="n">
        <x:f>IF(AND(COUNTIFS('Domain evidence'!$A$8:$A$73,$A40,'Domain evidence'!$D$8:$D$73,"&lt;&gt;")=2,COUNTIFS('Domain evidence'!$A$8:$A$73,$A40,'Domain evidence'!$D$8:$D$73,"&gt;=0")=2),SUMIFS('Domain evidence'!$D$8:$D$73,'Domain evidence'!$A$8:$A$73,$A40),"")</x:f>
        <x:v>18.87</x:v>
      </x:c>
      <x:c r="J40" s="22" t="n">
        <x:f>IF(AND(COUNTIFS('Domain evidence'!$A$8:$A$73,$A40,'Domain evidence'!$E$8:$E$73,"&lt;&gt;")=2,COUNTIFS('Domain evidence'!$A$8:$A$73,$A40,'Domain evidence'!$E$8:$E$73,"&gt;=0")=2),SUMIFS('Domain evidence'!$E$8:$E$73,'Domain evidence'!$A$8:$A$73,$A40),"")</x:f>
        <x:v>22.520000000000003</x:v>
      </x:c>
      <x:c r="K40" s="18" t="str">
        <x:v>Light names</x:v>
      </x:c>
      <x:c r="L40" s="23" t="n">
        <x:v>46302.67157407408</x:v>
      </x:c>
    </x:row>
  </x:sheetData>
  <x:conditionalFormatting sqref="F8:F40">
    <x:cfRule type="cellIs" dxfId="0" priority="1" operator="equal">
      <x:formula>"Does not meet"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88d90de4b249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32" hidden="0" customWidth="1"/>
    <x:col min="4" max="4" width="17" hidden="0" customWidth="1"/>
    <x:col min="5" max="5" width="18" hidden="0" customWidth="1"/>
    <x:col min="6" max="6" width="18" hidden="0" customWidth="1"/>
    <x:col min="7" max="7" width="37" hidden="0" customWidth="1"/>
    <x:col min="8" max="8" width="25" hidden="0" customWidth="1"/>
    <x:col min="9" max="9" width="23" hidden="0" customWidth="1"/>
    <x:col min="10" max="10" width="60" hidden="0" customWidth="1"/>
    <x:col min="11" max="11" width="55" hidden="0" customWidth="1"/>
    <x:col min="12" max="12" width="6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4" t="str">
        <x:v>Exact domain evidence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1" customHeight="1">
      <x:c r="A3" s="6" t="str">
        <x:v>Recorded registrar offers from the October 7 research. These checks were not refreshed for this spreadsheet.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1" customHeight="1">
      <x:c r="A4" s="6" t="str">
        <x:v>Blank prices mean unavailable, unknown or not quoted. Resale quotes are separate from registration prices.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1" customHeight="1">
      <x:c r="A5" s="6" t="str">
        <x:v>EDT is UTC-4. Times are evidence-collection times. No domains were registered and no broker was contacted.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3" customHeight="1">
      <x:c r="A7" s="15" t="str">
        <x:v>Name</x:v>
      </x:c>
      <x:c r="B7" s="16" t="str">
        <x:v>Exact domain</x:v>
      </x:c>
      <x:c r="C7" s="16" t="str">
        <x:v>Observed status</x:v>
      </x:c>
      <x:c r="D7" s="16" t="str">
        <x:v>First year (USD)</x:v>
      </x:c>
      <x:c r="E7" s="16" t="str">
        <x:v>Renewal (USD/year)</x:v>
      </x:c>
      <x:c r="F7" s="16" t="str">
        <x:v>Resale quote (USD)</x:v>
      </x:c>
      <x:c r="G7" s="16" t="str">
        <x:v>Premium / resale status</x:v>
      </x:c>
      <x:c r="H7" s="16" t="str">
        <x:v>Checked at (EDT)</x:v>
      </x:c>
      <x:c r="I7" s="16" t="str">
        <x:v>Registrar</x:v>
      </x:c>
      <x:c r="J7" s="16" t="str">
        <x:v>Evidence limitation</x:v>
      </x:c>
      <x:c r="K7" s="16" t="str">
        <x:v>Registrar source URL</x:v>
      </x:c>
      <x:c r="L7" s="17" t="str">
        <x:v>Naming-use source URL(s)</x:v>
      </x:c>
    </x:row>
    <x:row r="8" ht="42" customHeight="1">
      <x:c r="A8" s="18" t="str">
        <x:v>Word in Reach</x:v>
      </x:c>
      <x:c r="B8" s="18" t="str">
        <x:v>wordinreach.com</x:v>
      </x:c>
      <x:c r="C8" s="18" t="str">
        <x:v>Available standard registration</x:v>
      </x:c>
      <x:c r="D8" s="22" t="n">
        <x:v>11.08</x:v>
      </x:c>
      <x:c r="E8" s="22" t="n">
        <x:v>11.08</x:v>
      </x:c>
      <x:c r="F8" s="22"/>
      <x:c r="G8" s="18" t="str">
        <x:v>No premium or resale label</x:v>
      </x:c>
      <x:c r="H8" s="23" t="n">
        <x:v>46302.63549768519</x:v>
      </x:c>
      <x:c r="I8" s="18" t="str">
        <x:v>Porkbun</x:v>
      </x:c>
      <x:c r="J8" s="19" t="str">
        <x:v>Ordinary registration offer. Availability is time-bound.</x:v>
      </x:c>
      <x:c r="K8" s="20" t="str">
        <x:v>https://porkbun.com/checkout/search</x:v>
      </x:c>
      <x:c r="L8" s="20" t="str">
        <x:v>https://play.google.com/store/apps/details?id=com.studio201.wordreach</x:v>
      </x:c>
    </x:row>
    <x:row r="9" ht="42" customHeight="1">
      <x:c r="A9" s="18" t="str">
        <x:v>Word in Reach</x:v>
      </x:c>
      <x:c r="B9" s="18" t="str">
        <x:v>wordinreach.org</x:v>
      </x:c>
      <x:c r="C9" s="18" t="str">
        <x:v>Available standard registration</x:v>
      </x:c>
      <x:c r="D9" s="22" t="n">
        <x:v>7.98</x:v>
      </x:c>
      <x:c r="E9" s="22" t="n">
        <x:v>11.84</x:v>
      </x:c>
      <x:c r="F9" s="22"/>
      <x:c r="G9" s="18" t="str">
        <x:v>No premium or resale label</x:v>
      </x:c>
      <x:c r="H9" s="23" t="n">
        <x:v>46302.63549768519</x:v>
      </x:c>
      <x:c r="I9" s="18" t="str">
        <x:v>Porkbun</x:v>
      </x:c>
      <x:c r="J9" s="19" t="str">
        <x:v>Standard .org first-year sale. Availability is time-bound.</x:v>
      </x:c>
      <x:c r="K9" s="20" t="str">
        <x:v>https://porkbun.com/checkout/search</x:v>
      </x:c>
      <x:c r="L9" s="20" t="str"/>
    </x:row>
    <x:row r="10" ht="42" customHeight="1">
      <x:c r="A10" s="18" t="str">
        <x:v>ScriptureKin</x:v>
      </x:c>
      <x:c r="B10" s="18" t="str">
        <x:v>scripturekin.com</x:v>
      </x:c>
      <x:c r="C10" s="18" t="str">
        <x:v>Available standard registration</x:v>
      </x:c>
      <x:c r="D10" s="22" t="n">
        <x:v>11.08</x:v>
      </x:c>
      <x:c r="E10" s="22" t="n">
        <x:v>11.08</x:v>
      </x:c>
      <x:c r="F10" s="22"/>
      <x:c r="G10" s="18" t="str">
        <x:v>No premium or resale label</x:v>
      </x:c>
      <x:c r="H10" s="23" t="n">
        <x:v>46302.63549768519</x:v>
      </x:c>
      <x:c r="I10" s="18" t="str">
        <x:v>Porkbun</x:v>
      </x:c>
      <x:c r="J10" s="19" t="str">
        <x:v>Ordinary registration offer. Availability is time-bound.</x:v>
      </x:c>
      <x:c r="K10" s="20" t="str">
        <x:v>https://porkbun.com/checkout/search</x:v>
      </x:c>
      <x:c r="L10" s="20" t="str"/>
    </x:row>
    <x:row r="11" ht="42" customHeight="1">
      <x:c r="A11" s="18" t="str">
        <x:v>ScriptureKin</x:v>
      </x:c>
      <x:c r="B11" s="18" t="str">
        <x:v>scripturekin.org</x:v>
      </x:c>
      <x:c r="C11" s="18" t="str">
        <x:v>Available standard registration</x:v>
      </x:c>
      <x:c r="D11" s="22" t="n">
        <x:v>7.98</x:v>
      </x:c>
      <x:c r="E11" s="22" t="n">
        <x:v>11.84</x:v>
      </x:c>
      <x:c r="F11" s="22"/>
      <x:c r="G11" s="18" t="str">
        <x:v>No premium or resale label</x:v>
      </x:c>
      <x:c r="H11" s="23" t="n">
        <x:v>46302.63549768519</x:v>
      </x:c>
      <x:c r="I11" s="18" t="str">
        <x:v>Porkbun</x:v>
      </x:c>
      <x:c r="J11" s="19" t="str">
        <x:v>Standard .org first-year sale. Availability is time-bound.</x:v>
      </x:c>
      <x:c r="K11" s="20" t="str">
        <x:v>https://porkbun.com/checkout/search</x:v>
      </x:c>
      <x:c r="L11" s="20" t="str"/>
    </x:row>
    <x:row r="12" ht="42" customHeight="1">
      <x:c r="A12" s="18" t="str">
        <x:v>Every Tongue Media</x:v>
      </x:c>
      <x:c r="B12" s="18" t="str">
        <x:v>everytonguemedia.com</x:v>
      </x:c>
      <x:c r="C12" s="18" t="str">
        <x:v>Available standard registration</x:v>
      </x:c>
      <x:c r="D12" s="22" t="n">
        <x:v>11.08</x:v>
      </x:c>
      <x:c r="E12" s="22" t="n">
        <x:v>11.08</x:v>
      </x:c>
      <x:c r="F12" s="22"/>
      <x:c r="G12" s="18" t="str">
        <x:v>No premium or resale label</x:v>
      </x:c>
      <x:c r="H12" s="23" t="n">
        <x:v>46302.63549768519</x:v>
      </x:c>
      <x:c r="I12" s="18" t="str">
        <x:v>Porkbun</x:v>
      </x:c>
      <x:c r="J12" s="19" t="str">
        <x:v>Ordinary registration offer. Availability is time-bound.</x:v>
      </x:c>
      <x:c r="K12" s="20" t="str">
        <x:v>https://porkbun.com/checkout/search</x:v>
      </x:c>
      <x:c r="L12" s="20" t="str">
        <x:v>https://lifeword.org/who-we-are/about/
https://impactfilmlab.com/</x:v>
      </x:c>
    </x:row>
    <x:row r="13" ht="42" customHeight="1">
      <x:c r="A13" s="18" t="str">
        <x:v>Every Tongue Media</x:v>
      </x:c>
      <x:c r="B13" s="18" t="str">
        <x:v>everytonguemedia.org</x:v>
      </x:c>
      <x:c r="C13" s="18" t="str">
        <x:v>Available standard registration</x:v>
      </x:c>
      <x:c r="D13" s="22" t="n">
        <x:v>7.98</x:v>
      </x:c>
      <x:c r="E13" s="22" t="n">
        <x:v>11.84</x:v>
      </x:c>
      <x:c r="F13" s="22"/>
      <x:c r="G13" s="18" t="str">
        <x:v>No premium or resale label</x:v>
      </x:c>
      <x:c r="H13" s="23" t="n">
        <x:v>46302.63549768519</x:v>
      </x:c>
      <x:c r="I13" s="18" t="str">
        <x:v>Porkbun</x:v>
      </x:c>
      <x:c r="J13" s="19" t="str">
        <x:v>Standard .org first-year sale. Availability is time-bound.</x:v>
      </x:c>
      <x:c r="K13" s="20" t="str">
        <x:v>https://porkbun.com/checkout/search</x:v>
      </x:c>
      <x:c r="L13" s="20" t="str"/>
    </x:row>
    <x:row r="14" ht="77" customHeight="1">
      <x:c r="A14" s="18" t="str">
        <x:v>HeartWord</x:v>
      </x:c>
      <x:c r="B14" s="18" t="str">
        <x:v>heartword.com</x:v>
      </x:c>
      <x:c r="C14" s="18" t="str">
        <x:v>Aftermarket resale</x:v>
      </x:c>
      <x:c r="D14" s="22"/>
      <x:c r="E14" s="22"/>
      <x:c r="F14" s="22" t="n">
        <x:v>3195</x:v>
      </x:c>
      <x:c r="G14" s="18" t="str">
        <x:v>Resale. Standard registration unavailable.</x:v>
      </x:c>
      <x:c r="H14" s="23" t="n">
        <x:v>46302.63818287037</x:v>
      </x:c>
      <x:c r="I14" s="18" t="str">
        <x:v>GoDaddy / Porkbun</x:v>
      </x:c>
      <x:c r="J14" s="19" t="str">
        <x:v>Time shown is the GoDaddy resale confirmation. $3,195 plus transfer fee is the earlier Porkbun quote. Its exact price-check time was not recorded. No GoDaddy price was obtained.</x:v>
      </x:c>
      <x:c r="K14" s="20" t="str">
        <x:v>https://forsale.godaddy.com/forsale/heartword.com
https://porkbun.com/checkout/search</x:v>
      </x:c>
      <x:c r="L14" s="20" t="str">
        <x:v>https://heartword.app/
https://play.google.com/store/apps/details?id=com.timetells.heartword
https://apps.apple.com/in/app/heartword-daily-stoic-quotes/id6762086736</x:v>
      </x:c>
    </x:row>
    <x:row r="15" ht="42" customHeight="1">
      <x:c r="A15" s="18" t="str">
        <x:v>HeartWord</x:v>
      </x:c>
      <x:c r="B15" s="18" t="str">
        <x:v>heartword.org</x:v>
      </x:c>
      <x:c r="C15" s="18" t="str">
        <x:v>Unverified</x:v>
      </x:c>
      <x:c r="D15" s="22"/>
      <x:c r="E15" s="22"/>
      <x:c r="F15" s="22"/>
      <x:c r="G15" s="18" t="str">
        <x:v>Unknown</x:v>
      </x:c>
      <x:c r="H15" s="23"/>
      <x:c r="I15" s="18" t="str"/>
      <x:c r="J15" s="19" t="str">
        <x:v>No completed .org availability result recorded. Established organization domain is heartword.ai.</x:v>
      </x:c>
      <x:c r="K15" s="20" t="str"/>
      <x:c r="L15" s="20" t="str"/>
    </x:row>
    <x:row r="16" ht="42" customHeight="1">
      <x:c r="A16" s="18" t="str">
        <x:v>ScriptureReach</x:v>
      </x:c>
      <x:c r="B16" s="18" t="str">
        <x:v>scripturereach.com</x:v>
      </x:c>
      <x:c r="C16" s="18" t="str">
        <x:v>Available standard registration</x:v>
      </x:c>
      <x:c r="D16" s="22" t="n">
        <x:v>11.08</x:v>
      </x:c>
      <x:c r="E16" s="22" t="n">
        <x:v>11.08</x:v>
      </x:c>
      <x:c r="F16" s="22"/>
      <x:c r="G16" s="18" t="str">
        <x:v>No premium or resale label</x:v>
      </x:c>
      <x:c r="H16" s="23" t="n">
        <x:v>46302.64545138889</x:v>
      </x:c>
      <x:c r="I16" s="18" t="str">
        <x:v>Porkbun</x:v>
      </x:c>
      <x:c r="J16" s="19" t="str">
        <x:v>Ordinary registration offer. Availability is time-bound.</x:v>
      </x:c>
      <x:c r="K16" s="20" t="str">
        <x:v>https://porkbun.com/checkout/search</x:v>
      </x:c>
      <x:c r="L16" s="20" t="str"/>
    </x:row>
    <x:row r="17" ht="42" customHeight="1">
      <x:c r="A17" s="18" t="str">
        <x:v>ScriptureReach</x:v>
      </x:c>
      <x:c r="B17" s="18" t="str">
        <x:v>scripturereach.org</x:v>
      </x:c>
      <x:c r="C17" s="18" t="str">
        <x:v>Available standard registration</x:v>
      </x:c>
      <x:c r="D17" s="22" t="n">
        <x:v>7.98</x:v>
      </x:c>
      <x:c r="E17" s="22" t="n">
        <x:v>11.84</x:v>
      </x:c>
      <x:c r="F17" s="22"/>
      <x:c r="G17" s="18" t="str">
        <x:v>No premium or resale label</x:v>
      </x:c>
      <x:c r="H17" s="23" t="n">
        <x:v>46302.64545138889</x:v>
      </x:c>
      <x:c r="I17" s="18" t="str">
        <x:v>Porkbun</x:v>
      </x:c>
      <x:c r="J17" s="19" t="str">
        <x:v>Standard .org first-year sale. Availability is time-bound.</x:v>
      </x:c>
      <x:c r="K17" s="20" t="str">
        <x:v>https://porkbun.com/checkout/search</x:v>
      </x:c>
      <x:c r="L17" s="20" t="str"/>
    </x:row>
    <x:row r="18" ht="42" customHeight="1">
      <x:c r="A18" s="18" t="str">
        <x:v>Word in View</x:v>
      </x:c>
      <x:c r="B18" s="18" t="str">
        <x:v>wordinview.com</x:v>
      </x:c>
      <x:c r="C18" s="18" t="str">
        <x:v>Available standard registration</x:v>
      </x:c>
      <x:c r="D18" s="22" t="n">
        <x:v>11.08</x:v>
      </x:c>
      <x:c r="E18" s="22" t="n">
        <x:v>11.08</x:v>
      </x:c>
      <x:c r="F18" s="22"/>
      <x:c r="G18" s="18" t="str">
        <x:v>No premium or resale label</x:v>
      </x:c>
      <x:c r="H18" s="23" t="n">
        <x:v>46302.64545138889</x:v>
      </x:c>
      <x:c r="I18" s="18" t="str">
        <x:v>Porkbun</x:v>
      </x:c>
      <x:c r="J18" s="19" t="str">
        <x:v>Ordinary registration offer. Availability is time-bound.</x:v>
      </x:c>
      <x:c r="K18" s="20" t="str">
        <x:v>https://porkbun.com/checkout/search</x:v>
      </x:c>
      <x:c r="L18" s="20" t="str"/>
    </x:row>
    <x:row r="19" ht="42" customHeight="1">
      <x:c r="A19" s="18" t="str">
        <x:v>Word in View</x:v>
      </x:c>
      <x:c r="B19" s="18" t="str">
        <x:v>wordinview.org</x:v>
      </x:c>
      <x:c r="C19" s="18" t="str">
        <x:v>Available standard registration</x:v>
      </x:c>
      <x:c r="D19" s="22" t="n">
        <x:v>7.98</x:v>
      </x:c>
      <x:c r="E19" s="22" t="n">
        <x:v>11.84</x:v>
      </x:c>
      <x:c r="F19" s="22"/>
      <x:c r="G19" s="18" t="str">
        <x:v>No premium or resale label</x:v>
      </x:c>
      <x:c r="H19" s="23" t="n">
        <x:v>46302.64545138889</x:v>
      </x:c>
      <x:c r="I19" s="18" t="str">
        <x:v>Porkbun</x:v>
      </x:c>
      <x:c r="J19" s="19" t="str">
        <x:v>Standard .org first-year sale. Availability is time-bound.</x:v>
      </x:c>
      <x:c r="K19" s="20" t="str">
        <x:v>https://porkbun.com/checkout/search</x:v>
      </x:c>
      <x:c r="L19" s="20" t="str"/>
    </x:row>
    <x:row r="20" ht="42" customHeight="1">
      <x:c r="A20" s="18" t="str">
        <x:v>ScriptureLantern</x:v>
      </x:c>
      <x:c r="B20" s="18" t="str">
        <x:v>scripturelantern.com</x:v>
      </x:c>
      <x:c r="C20" s="18" t="str">
        <x:v>Available standard registration</x:v>
      </x:c>
      <x:c r="D20" s="22" t="n">
        <x:v>11.08</x:v>
      </x:c>
      <x:c r="E20" s="22" t="n">
        <x:v>11.08</x:v>
      </x:c>
      <x:c r="F20" s="22"/>
      <x:c r="G20" s="18" t="str">
        <x:v>No premium or resale label</x:v>
      </x:c>
      <x:c r="H20" s="23" t="n">
        <x:v>46302.646516203706</x:v>
      </x:c>
      <x:c r="I20" s="18" t="str">
        <x:v>Porkbun</x:v>
      </x:c>
      <x:c r="J20" s="19" t="str">
        <x:v>Ordinary registration offer. Availability is time-bound.</x:v>
      </x:c>
      <x:c r="K20" s="20" t="str">
        <x:v>https://porkbun.com/checkout/search</x:v>
      </x:c>
      <x:c r="L20" s="20" t="str"/>
    </x:row>
    <x:row r="21" ht="42" customHeight="1">
      <x:c r="A21" s="18" t="str">
        <x:v>ScriptureLantern</x:v>
      </x:c>
      <x:c r="B21" s="18" t="str">
        <x:v>scripturelantern.org</x:v>
      </x:c>
      <x:c r="C21" s="18" t="str">
        <x:v>Available standard registration</x:v>
      </x:c>
      <x:c r="D21" s="22" t="n">
        <x:v>7.98</x:v>
      </x:c>
      <x:c r="E21" s="22" t="n">
        <x:v>11.84</x:v>
      </x:c>
      <x:c r="F21" s="22"/>
      <x:c r="G21" s="18" t="str">
        <x:v>No premium or resale label</x:v>
      </x:c>
      <x:c r="H21" s="23" t="n">
        <x:v>46302.646516203706</x:v>
      </x:c>
      <x:c r="I21" s="18" t="str">
        <x:v>Porkbun</x:v>
      </x:c>
      <x:c r="J21" s="19" t="str">
        <x:v>Standard .org first-year sale. Availability is time-bound.</x:v>
      </x:c>
      <x:c r="K21" s="20" t="str">
        <x:v>https://porkbun.com/checkout/search</x:v>
      </x:c>
      <x:c r="L21" s="20" t="str"/>
    </x:row>
    <x:row r="22" ht="42" customHeight="1">
      <x:c r="A22" s="18" t="str">
        <x:v>Language and Light</x:v>
      </x:c>
      <x:c r="B22" s="18" t="str">
        <x:v>languageandlight.com</x:v>
      </x:c>
      <x:c r="C22" s="18" t="str">
        <x:v>Available standard registration</x:v>
      </x:c>
      <x:c r="D22" s="22" t="n">
        <x:v>11.08</x:v>
      </x:c>
      <x:c r="E22" s="22" t="n">
        <x:v>11.08</x:v>
      </x:c>
      <x:c r="F22" s="22"/>
      <x:c r="G22" s="18" t="str">
        <x:v>No premium or resale label</x:v>
      </x:c>
      <x:c r="H22" s="23" t="n">
        <x:v>46302.64545138889</x:v>
      </x:c>
      <x:c r="I22" s="18" t="str">
        <x:v>Porkbun</x:v>
      </x:c>
      <x:c r="J22" s="19" t="str">
        <x:v>Ordinary registration offer. Availability is time-bound.</x:v>
      </x:c>
      <x:c r="K22" s="20" t="str">
        <x:v>https://porkbun.com/checkout/search</x:v>
      </x:c>
      <x:c r="L22" s="20" t="str">
        <x:v>https://instituteoflightlanguage.com/</x:v>
      </x:c>
    </x:row>
    <x:row r="23" ht="42" customHeight="1">
      <x:c r="A23" s="18" t="str">
        <x:v>Language and Light</x:v>
      </x:c>
      <x:c r="B23" s="18" t="str">
        <x:v>languageandlight.org</x:v>
      </x:c>
      <x:c r="C23" s="18" t="str">
        <x:v>Available standard registration</x:v>
      </x:c>
      <x:c r="D23" s="22" t="n">
        <x:v>7.98</x:v>
      </x:c>
      <x:c r="E23" s="22" t="n">
        <x:v>11.84</x:v>
      </x:c>
      <x:c r="F23" s="22"/>
      <x:c r="G23" s="18" t="str">
        <x:v>No premium or resale label</x:v>
      </x:c>
      <x:c r="H23" s="23" t="n">
        <x:v>46302.64545138889</x:v>
      </x:c>
      <x:c r="I23" s="18" t="str">
        <x:v>Porkbun</x:v>
      </x:c>
      <x:c r="J23" s="19" t="str">
        <x:v>Standard .org first-year sale. Availability is time-bound.</x:v>
      </x:c>
      <x:c r="K23" s="20" t="str">
        <x:v>https://porkbun.com/checkout/search</x:v>
      </x:c>
      <x:c r="L23" s="20" t="str"/>
    </x:row>
    <x:row r="24" ht="42" customHeight="1">
      <x:c r="A24" s="18" t="str">
        <x:v>Word With Us</x:v>
      </x:c>
      <x:c r="B24" s="18" t="str">
        <x:v>wordwithus.com</x:v>
      </x:c>
      <x:c r="C24" s="18" t="str">
        <x:v>Available standard registration</x:v>
      </x:c>
      <x:c r="D24" s="22" t="n">
        <x:v>11.08</x:v>
      </x:c>
      <x:c r="E24" s="22" t="n">
        <x:v>11.08</x:v>
      </x:c>
      <x:c r="F24" s="22"/>
      <x:c r="G24" s="18" t="str">
        <x:v>No premium or resale label</x:v>
      </x:c>
      <x:c r="H24" s="23" t="n">
        <x:v>46302.646516203706</x:v>
      </x:c>
      <x:c r="I24" s="18" t="str">
        <x:v>Porkbun</x:v>
      </x:c>
      <x:c r="J24" s="19" t="str">
        <x:v>Ordinary registration offer. Availability is time-bound.</x:v>
      </x:c>
      <x:c r="K24" s="20" t="str">
        <x:v>https://porkbun.com/checkout/search</x:v>
      </x:c>
      <x:c r="L24" s="20" t="str">
        <x:v>https://hutchcraft.com/about/what-we-do</x:v>
      </x:c>
    </x:row>
    <x:row r="25" ht="42" customHeight="1">
      <x:c r="A25" s="18" t="str">
        <x:v>Word With Us</x:v>
      </x:c>
      <x:c r="B25" s="18" t="str">
        <x:v>wordwithus.org</x:v>
      </x:c>
      <x:c r="C25" s="18" t="str">
        <x:v>Available standard registration</x:v>
      </x:c>
      <x:c r="D25" s="22" t="n">
        <x:v>7.98</x:v>
      </x:c>
      <x:c r="E25" s="22" t="n">
        <x:v>11.84</x:v>
      </x:c>
      <x:c r="F25" s="22"/>
      <x:c r="G25" s="18" t="str">
        <x:v>No premium or resale label</x:v>
      </x:c>
      <x:c r="H25" s="23" t="n">
        <x:v>46302.646516203706</x:v>
      </x:c>
      <x:c r="I25" s="18" t="str">
        <x:v>Porkbun</x:v>
      </x:c>
      <x:c r="J25" s="19" t="str">
        <x:v>Standard .org first-year sale. Availability is time-bound.</x:v>
      </x:c>
      <x:c r="K25" s="20" t="str">
        <x:v>https://porkbun.com/checkout/search</x:v>
      </x:c>
      <x:c r="L25" s="20" t="str"/>
    </x:row>
    <x:row r="26" ht="42" customHeight="1">
      <x:c r="A26" s="18" t="str">
        <x:v>Heart Language Media</x:v>
      </x:c>
      <x:c r="B26" s="18" t="str">
        <x:v>heartlanguagemedia.com</x:v>
      </x:c>
      <x:c r="C26" s="18" t="str">
        <x:v>Available standard registration</x:v>
      </x:c>
      <x:c r="D26" s="22" t="n">
        <x:v>11.08</x:v>
      </x:c>
      <x:c r="E26" s="22" t="n">
        <x:v>11.08</x:v>
      </x:c>
      <x:c r="F26" s="22"/>
      <x:c r="G26" s="18" t="str">
        <x:v>No premium or resale label</x:v>
      </x:c>
      <x:c r="H26" s="23" t="n">
        <x:v>46302.64545138889</x:v>
      </x:c>
      <x:c r="I26" s="18" t="str">
        <x:v>Porkbun</x:v>
      </x:c>
      <x:c r="J26" s="19" t="str">
        <x:v>Ordinary registration offer. Availability is time-bound.</x:v>
      </x:c>
      <x:c r="K26" s="20" t="str">
        <x:v>https://porkbun.com/checkout/search</x:v>
      </x:c>
      <x:c r="L26" s="20" t="str">
        <x:v>https://multilanguagemedia.org/</x:v>
      </x:c>
    </x:row>
    <x:row r="27" ht="42" customHeight="1">
      <x:c r="A27" s="18" t="str">
        <x:v>Heart Language Media</x:v>
      </x:c>
      <x:c r="B27" s="18" t="str">
        <x:v>heartlanguagemedia.org</x:v>
      </x:c>
      <x:c r="C27" s="18" t="str">
        <x:v>Available standard registration</x:v>
      </x:c>
      <x:c r="D27" s="22" t="n">
        <x:v>7.98</x:v>
      </x:c>
      <x:c r="E27" s="22" t="n">
        <x:v>11.84</x:v>
      </x:c>
      <x:c r="F27" s="22"/>
      <x:c r="G27" s="18" t="str">
        <x:v>No premium or resale label</x:v>
      </x:c>
      <x:c r="H27" s="23" t="n">
        <x:v>46302.64545138889</x:v>
      </x:c>
      <x:c r="I27" s="18" t="str">
        <x:v>Porkbun</x:v>
      </x:c>
      <x:c r="J27" s="19" t="str">
        <x:v>Standard .org first-year sale. Availability is time-bound.</x:v>
      </x:c>
      <x:c r="K27" s="20" t="str">
        <x:v>https://porkbun.com/checkout/search</x:v>
      </x:c>
      <x:c r="L27" s="20" t="str"/>
    </x:row>
    <x:row r="28" ht="42" customHeight="1">
      <x:c r="A28" s="18" t="str">
        <x:v>Every Language Media</x:v>
      </x:c>
      <x:c r="B28" s="18" t="str">
        <x:v>everylanguagemedia.com</x:v>
      </x:c>
      <x:c r="C28" s="18" t="str">
        <x:v>Available standard registration</x:v>
      </x:c>
      <x:c r="D28" s="22" t="n">
        <x:v>11.08</x:v>
      </x:c>
      <x:c r="E28" s="22" t="n">
        <x:v>11.08</x:v>
      </x:c>
      <x:c r="F28" s="22"/>
      <x:c r="G28" s="18" t="str">
        <x:v>No premium or resale label</x:v>
      </x:c>
      <x:c r="H28" s="23" t="n">
        <x:v>46302.64545138889</x:v>
      </x:c>
      <x:c r="I28" s="18" t="str">
        <x:v>Porkbun</x:v>
      </x:c>
      <x:c r="J28" s="19" t="str">
        <x:v>Ordinary registration offer. Availability is time-bound.</x:v>
      </x:c>
      <x:c r="K28" s="20" t="str">
        <x:v>https://porkbun.com/checkout/search</x:v>
      </x:c>
      <x:c r="L28" s="20" t="str">
        <x:v>https://multilanguagemedia.org/</x:v>
      </x:c>
    </x:row>
    <x:row r="29" ht="42" customHeight="1">
      <x:c r="A29" s="18" t="str">
        <x:v>Every Language Media</x:v>
      </x:c>
      <x:c r="B29" s="18" t="str">
        <x:v>everylanguagemedia.org</x:v>
      </x:c>
      <x:c r="C29" s="18" t="str">
        <x:v>Available standard registration</x:v>
      </x:c>
      <x:c r="D29" s="22" t="n">
        <x:v>7.98</x:v>
      </x:c>
      <x:c r="E29" s="22" t="n">
        <x:v>11.84</x:v>
      </x:c>
      <x:c r="F29" s="22"/>
      <x:c r="G29" s="18" t="str">
        <x:v>No premium or resale label</x:v>
      </x:c>
      <x:c r="H29" s="23" t="n">
        <x:v>46302.64545138889</x:v>
      </x:c>
      <x:c r="I29" s="18" t="str">
        <x:v>Porkbun</x:v>
      </x:c>
      <x:c r="J29" s="19" t="str">
        <x:v>Standard .org first-year sale. Availability is time-bound.</x:v>
      </x:c>
      <x:c r="K29" s="20" t="str">
        <x:v>https://porkbun.com/checkout/search</x:v>
      </x:c>
      <x:c r="L29" s="20" t="str"/>
    </x:row>
    <x:row r="30" ht="42" customHeight="1">
      <x:c r="A30" s="18" t="str">
        <x:v>Scripture in Frame</x:v>
      </x:c>
      <x:c r="B30" s="18" t="str">
        <x:v>scriptureinframe.com</x:v>
      </x:c>
      <x:c r="C30" s="18" t="str">
        <x:v>Available standard registration</x:v>
      </x:c>
      <x:c r="D30" s="22" t="n">
        <x:v>11.08</x:v>
      </x:c>
      <x:c r="E30" s="22" t="n">
        <x:v>11.08</x:v>
      </x:c>
      <x:c r="F30" s="22"/>
      <x:c r="G30" s="18" t="str">
        <x:v>No premium or resale label</x:v>
      </x:c>
      <x:c r="H30" s="23" t="n">
        <x:v>46302.64545138889</x:v>
      </x:c>
      <x:c r="I30" s="18" t="str">
        <x:v>Porkbun</x:v>
      </x:c>
      <x:c r="J30" s="19" t="str">
        <x:v>Ordinary registration offer. Availability is time-bound.</x:v>
      </x:c>
      <x:c r="K30" s="20" t="str">
        <x:v>https://porkbun.com/checkout/search</x:v>
      </x:c>
      <x:c r="L30" s="20" t="str"/>
    </x:row>
    <x:row r="31" ht="42" customHeight="1">
      <x:c r="A31" s="18" t="str">
        <x:v>Scripture in Frame</x:v>
      </x:c>
      <x:c r="B31" s="18" t="str">
        <x:v>scriptureinframe.org</x:v>
      </x:c>
      <x:c r="C31" s="18" t="str">
        <x:v>Available standard registration</x:v>
      </x:c>
      <x:c r="D31" s="22" t="n">
        <x:v>7.98</x:v>
      </x:c>
      <x:c r="E31" s="22" t="n">
        <x:v>11.84</x:v>
      </x:c>
      <x:c r="F31" s="22"/>
      <x:c r="G31" s="18" t="str">
        <x:v>No premium or resale label</x:v>
      </x:c>
      <x:c r="H31" s="23" t="n">
        <x:v>46302.64545138889</x:v>
      </x:c>
      <x:c r="I31" s="18" t="str">
        <x:v>Porkbun</x:v>
      </x:c>
      <x:c r="J31" s="19" t="str">
        <x:v>Standard .org first-year sale. Availability is time-bound.</x:v>
      </x:c>
      <x:c r="K31" s="20" t="str">
        <x:v>https://porkbun.com/checkout/search</x:v>
      </x:c>
      <x:c r="L31" s="20" t="str"/>
    </x:row>
    <x:row r="32" ht="42" customHeight="1">
      <x:c r="A32" s="18" t="str">
        <x:v>VerseLantern</x:v>
      </x:c>
      <x:c r="B32" s="18" t="str">
        <x:v>verselantern.com</x:v>
      </x:c>
      <x:c r="C32" s="18" t="str">
        <x:v>Available standard registration</x:v>
      </x:c>
      <x:c r="D32" s="22" t="n">
        <x:v>11.08</x:v>
      </x:c>
      <x:c r="E32" s="22" t="n">
        <x:v>11.08</x:v>
      </x:c>
      <x:c r="F32" s="22"/>
      <x:c r="G32" s="18" t="str">
        <x:v>No premium or resale label</x:v>
      </x:c>
      <x:c r="H32" s="23" t="n">
        <x:v>46302.646516203706</x:v>
      </x:c>
      <x:c r="I32" s="18" t="str">
        <x:v>Porkbun</x:v>
      </x:c>
      <x:c r="J32" s="19" t="str">
        <x:v>Ordinary registration offer. Availability is time-bound.</x:v>
      </x:c>
      <x:c r="K32" s="20" t="str">
        <x:v>https://porkbun.com/checkout/search</x:v>
      </x:c>
      <x:c r="L32" s="20" t="str"/>
    </x:row>
    <x:row r="33" ht="42" customHeight="1">
      <x:c r="A33" s="18" t="str">
        <x:v>VerseLantern</x:v>
      </x:c>
      <x:c r="B33" s="18" t="str">
        <x:v>verselantern.org</x:v>
      </x:c>
      <x:c r="C33" s="18" t="str">
        <x:v>Available standard registration</x:v>
      </x:c>
      <x:c r="D33" s="22" t="n">
        <x:v>7.98</x:v>
      </x:c>
      <x:c r="E33" s="22" t="n">
        <x:v>11.84</x:v>
      </x:c>
      <x:c r="F33" s="22"/>
      <x:c r="G33" s="18" t="str">
        <x:v>No premium or resale label</x:v>
      </x:c>
      <x:c r="H33" s="23" t="n">
        <x:v>46302.646516203706</x:v>
      </x:c>
      <x:c r="I33" s="18" t="str">
        <x:v>Porkbun</x:v>
      </x:c>
      <x:c r="J33" s="19" t="str">
        <x:v>Standard .org first-year sale. Availability is time-bound.</x:v>
      </x:c>
      <x:c r="K33" s="20" t="str">
        <x:v>https://porkbun.com/checkout/search</x:v>
      </x:c>
      <x:c r="L33" s="20" t="str"/>
    </x:row>
    <x:row r="34" ht="64" customHeight="1">
      <x:c r="A34" s="18" t="str">
        <x:v>Word for Every Heart</x:v>
      </x:c>
      <x:c r="B34" s="18" t="str">
        <x:v>wordforeveryheart.com</x:v>
      </x:c>
      <x:c r="C34" s="18" t="str">
        <x:v>Available standard registration</x:v>
      </x:c>
      <x:c r="D34" s="22" t="n">
        <x:v>11.08</x:v>
      </x:c>
      <x:c r="E34" s="22" t="n">
        <x:v>11.08</x:v>
      </x:c>
      <x:c r="F34" s="22"/>
      <x:c r="G34" s="18" t="str">
        <x:v>No premium or resale label</x:v>
      </x:c>
      <x:c r="H34" s="23" t="n">
        <x:v>46302.646516203706</x:v>
      </x:c>
      <x:c r="I34" s="18" t="str">
        <x:v>Porkbun</x:v>
      </x:c>
      <x:c r="J34" s="19" t="str">
        <x:v>Ordinary registration offer. Availability is time-bound.</x:v>
      </x:c>
      <x:c r="K34" s="20" t="str">
        <x:v>https://porkbun.com/checkout/search</x:v>
      </x:c>
      <x:c r="L34" s="20" t="str">
        <x:v>https://www.wordinternational.nl/about/our-beliefs-mission-and-vision
https://www.premierchristianity.com/unlocking-gods-word-for-every-heart/21686.article</x:v>
      </x:c>
    </x:row>
    <x:row r="35" ht="42" customHeight="1">
      <x:c r="A35" s="18" t="str">
        <x:v>Word for Every Heart</x:v>
      </x:c>
      <x:c r="B35" s="18" t="str">
        <x:v>wordforeveryheart.org</x:v>
      </x:c>
      <x:c r="C35" s="18" t="str">
        <x:v>Available standard registration</x:v>
      </x:c>
      <x:c r="D35" s="22" t="n">
        <x:v>7.98</x:v>
      </x:c>
      <x:c r="E35" s="22" t="n">
        <x:v>11.84</x:v>
      </x:c>
      <x:c r="F35" s="22"/>
      <x:c r="G35" s="18" t="str">
        <x:v>No premium or resale label</x:v>
      </x:c>
      <x:c r="H35" s="23" t="n">
        <x:v>46302.646516203706</x:v>
      </x:c>
      <x:c r="I35" s="18" t="str">
        <x:v>Porkbun</x:v>
      </x:c>
      <x:c r="J35" s="19" t="str">
        <x:v>Standard .org first-year sale. Availability is time-bound.</x:v>
      </x:c>
      <x:c r="K35" s="20" t="str">
        <x:v>https://porkbun.com/checkout/search</x:v>
      </x:c>
      <x:c r="L35" s="20" t="str"/>
    </x:row>
    <x:row r="36" ht="42" customHeight="1">
      <x:c r="A36" s="18" t="str">
        <x:v>Word and Scene</x:v>
      </x:c>
      <x:c r="B36" s="18" t="str">
        <x:v>wordandscene.com</x:v>
      </x:c>
      <x:c r="C36" s="18" t="str">
        <x:v>Available standard registration</x:v>
      </x:c>
      <x:c r="D36" s="22" t="n">
        <x:v>10.88</x:v>
      </x:c>
      <x:c r="E36" s="22" t="n">
        <x:v>10.88</x:v>
      </x:c>
      <x:c r="F36" s="22"/>
      <x:c r="G36" s="18" t="str">
        <x:v>No premium or resale label</x:v>
      </x:c>
      <x:c r="H36" s="23" t="n">
        <x:v>46302.65967592593</x:v>
      </x:c>
      <x:c r="I36" s="18" t="str">
        <x:v>Dynadot</x:v>
      </x:c>
      <x:c r="J36" s="19" t="str">
        <x:v>Standard .org first-year sale. Availability is time-bound.</x:v>
      </x:c>
      <x:c r="K36" s="20" t="str">
        <x:v>https://www.dynadot.com/domain/bulk-search</x:v>
      </x:c>
      <x:c r="L36" s="20" t="str"/>
    </x:row>
    <x:row r="37" ht="42" customHeight="1">
      <x:c r="A37" s="18" t="str">
        <x:v>Word and Scene</x:v>
      </x:c>
      <x:c r="B37" s="18" t="str">
        <x:v>wordandscene.org</x:v>
      </x:c>
      <x:c r="C37" s="18" t="str">
        <x:v>Available standard registration</x:v>
      </x:c>
      <x:c r="D37" s="22" t="n">
        <x:v>7.99</x:v>
      </x:c>
      <x:c r="E37" s="22" t="n">
        <x:v>11.64</x:v>
      </x:c>
      <x:c r="F37" s="22"/>
      <x:c r="G37" s="18" t="str">
        <x:v>No premium or resale label</x:v>
      </x:c>
      <x:c r="H37" s="23" t="n">
        <x:v>46302.65967592593</x:v>
      </x:c>
      <x:c r="I37" s="18" t="str">
        <x:v>Dynadot</x:v>
      </x:c>
      <x:c r="J37" s="19" t="str">
        <x:v>Standard .org first-year sale. Availability is time-bound.</x:v>
      </x:c>
      <x:c r="K37" s="20" t="str">
        <x:v>https://www.dynadot.com/domain/bulk-search</x:v>
      </x:c>
      <x:c r="L37" s="20" t="str"/>
    </x:row>
    <x:row r="38" ht="42" customHeight="1">
      <x:c r="A38" s="18" t="str">
        <x:v>Scripture and Light</x:v>
      </x:c>
      <x:c r="B38" s="18" t="str">
        <x:v>scriptureandlight.com</x:v>
      </x:c>
      <x:c r="C38" s="18" t="str">
        <x:v>Available standard registration</x:v>
      </x:c>
      <x:c r="D38" s="22" t="n">
        <x:v>10.88</x:v>
      </x:c>
      <x:c r="E38" s="22" t="n">
        <x:v>10.88</x:v>
      </x:c>
      <x:c r="F38" s="22"/>
      <x:c r="G38" s="18" t="str">
        <x:v>No premium or resale label</x:v>
      </x:c>
      <x:c r="H38" s="23" t="n">
        <x:v>46302.65967592593</x:v>
      </x:c>
      <x:c r="I38" s="18" t="str">
        <x:v>Dynadot</x:v>
      </x:c>
      <x:c r="J38" s="19" t="str">
        <x:v>Standard .org first-year sale. Availability is time-bound.</x:v>
      </x:c>
      <x:c r="K38" s="20" t="str">
        <x:v>https://www.dynadot.com/domain/bulk-search</x:v>
      </x:c>
      <x:c r="L38" s="20" t="str">
        <x:v>https://www.allsaintschurchmkvillage.co.uk/wp-content/uploads/2020/03/Looking-for-Light-Daily-Inspirations.pdf</x:v>
      </x:c>
    </x:row>
    <x:row r="39" ht="42" customHeight="1">
      <x:c r="A39" s="18" t="str">
        <x:v>Scripture and Light</x:v>
      </x:c>
      <x:c r="B39" s="18" t="str">
        <x:v>scriptureandlight.org</x:v>
      </x:c>
      <x:c r="C39" s="18" t="str">
        <x:v>Available standard registration</x:v>
      </x:c>
      <x:c r="D39" s="22" t="n">
        <x:v>7.99</x:v>
      </x:c>
      <x:c r="E39" s="22" t="n">
        <x:v>11.64</x:v>
      </x:c>
      <x:c r="F39" s="22"/>
      <x:c r="G39" s="18" t="str">
        <x:v>No premium or resale label</x:v>
      </x:c>
      <x:c r="H39" s="23" t="n">
        <x:v>46302.65967592593</x:v>
      </x:c>
      <x:c r="I39" s="18" t="str">
        <x:v>Dynadot</x:v>
      </x:c>
      <x:c r="J39" s="19" t="str">
        <x:v>Standard .org first-year sale. Availability is time-bound.</x:v>
      </x:c>
      <x:c r="K39" s="20" t="str">
        <x:v>https://www.dynadot.com/domain/bulk-search</x:v>
      </x:c>
      <x:c r="L39" s="20" t="str"/>
    </x:row>
    <x:row r="40" ht="42" customHeight="1">
      <x:c r="A40" s="18" t="str">
        <x:v>Source and Frame</x:v>
      </x:c>
      <x:c r="B40" s="18" t="str">
        <x:v>sourceandframe.com</x:v>
      </x:c>
      <x:c r="C40" s="18" t="str">
        <x:v>Available standard registration</x:v>
      </x:c>
      <x:c r="D40" s="22" t="n">
        <x:v>10.88</x:v>
      </x:c>
      <x:c r="E40" s="22" t="n">
        <x:v>10.88</x:v>
      </x:c>
      <x:c r="F40" s="22"/>
      <x:c r="G40" s="18" t="str">
        <x:v>No premium or resale label</x:v>
      </x:c>
      <x:c r="H40" s="23" t="n">
        <x:v>46302.65967592593</x:v>
      </x:c>
      <x:c r="I40" s="18" t="str">
        <x:v>Dynadot</x:v>
      </x:c>
      <x:c r="J40" s="19" t="str">
        <x:v>Standard .org first-year sale. Availability is time-bound.</x:v>
      </x:c>
      <x:c r="K40" s="20" t="str">
        <x:v>https://www.dynadot.com/domain/bulk-search</x:v>
      </x:c>
      <x:c r="L40" s="20" t="str"/>
    </x:row>
    <x:row r="41" ht="42" customHeight="1">
      <x:c r="A41" s="18" t="str">
        <x:v>Source and Frame</x:v>
      </x:c>
      <x:c r="B41" s="18" t="str">
        <x:v>sourceandframe.org</x:v>
      </x:c>
      <x:c r="C41" s="18" t="str">
        <x:v>Available standard registration</x:v>
      </x:c>
      <x:c r="D41" s="22" t="n">
        <x:v>7.99</x:v>
      </x:c>
      <x:c r="E41" s="22" t="n">
        <x:v>11.64</x:v>
      </x:c>
      <x:c r="F41" s="22"/>
      <x:c r="G41" s="18" t="str">
        <x:v>No premium or resale label</x:v>
      </x:c>
      <x:c r="H41" s="23" t="n">
        <x:v>46302.65967592593</x:v>
      </x:c>
      <x:c r="I41" s="18" t="str">
        <x:v>Dynadot</x:v>
      </x:c>
      <x:c r="J41" s="19" t="str">
        <x:v>Standard .org first-year sale. Availability is time-bound.</x:v>
      </x:c>
      <x:c r="K41" s="20" t="str">
        <x:v>https://www.dynadot.com/domain/bulk-search</x:v>
      </x:c>
      <x:c r="L41" s="20" t="str"/>
    </x:row>
    <x:row r="42" ht="42" customHeight="1">
      <x:c r="A42" s="18" t="str">
        <x:v>VillageWord</x:v>
      </x:c>
      <x:c r="B42" s="18" t="str">
        <x:v>villageword.com</x:v>
      </x:c>
      <x:c r="C42" s="18" t="str">
        <x:v>Available standard registration</x:v>
      </x:c>
      <x:c r="D42" s="22" t="n">
        <x:v>10.88</x:v>
      </x:c>
      <x:c r="E42" s="22" t="n">
        <x:v>10.88</x:v>
      </x:c>
      <x:c r="F42" s="22"/>
      <x:c r="G42" s="18" t="str">
        <x:v>No premium or resale label</x:v>
      </x:c>
      <x:c r="H42" s="23" t="n">
        <x:v>46302.65967592593</x:v>
      </x:c>
      <x:c r="I42" s="18" t="str">
        <x:v>Dynadot</x:v>
      </x:c>
      <x:c r="J42" s="19" t="str">
        <x:v>Standard .org first-year sale. Availability is time-bound.</x:v>
      </x:c>
      <x:c r="K42" s="20" t="str">
        <x:v>https://www.dynadot.com/domain/bulk-search</x:v>
      </x:c>
      <x:c r="L42" s="20" t="str"/>
    </x:row>
    <x:row r="43" ht="42" customHeight="1">
      <x:c r="A43" s="18" t="str">
        <x:v>VillageWord</x:v>
      </x:c>
      <x:c r="B43" s="18" t="str">
        <x:v>villageword.org</x:v>
      </x:c>
      <x:c r="C43" s="18" t="str">
        <x:v>Available standard registration</x:v>
      </x:c>
      <x:c r="D43" s="22" t="n">
        <x:v>7.99</x:v>
      </x:c>
      <x:c r="E43" s="22" t="n">
        <x:v>11.64</x:v>
      </x:c>
      <x:c r="F43" s="22"/>
      <x:c r="G43" s="18" t="str">
        <x:v>No premium or resale label</x:v>
      </x:c>
      <x:c r="H43" s="23" t="n">
        <x:v>46302.65967592593</x:v>
      </x:c>
      <x:c r="I43" s="18" t="str">
        <x:v>Dynadot</x:v>
      </x:c>
      <x:c r="J43" s="19" t="str">
        <x:v>Standard .org first-year sale. Availability is time-bound.</x:v>
      </x:c>
      <x:c r="K43" s="20" t="str">
        <x:v>https://www.dynadot.com/domain/bulk-search</x:v>
      </x:c>
      <x:c r="L43" s="20" t="str"/>
    </x:row>
    <x:row r="44" ht="42" customHeight="1">
      <x:c r="A44" s="18" t="str">
        <x:v>Chapter to Screen</x:v>
      </x:c>
      <x:c r="B44" s="18" t="str">
        <x:v>chaptertoscreen.com</x:v>
      </x:c>
      <x:c r="C44" s="18" t="str">
        <x:v>Available standard registration</x:v>
      </x:c>
      <x:c r="D44" s="22" t="n">
        <x:v>10.88</x:v>
      </x:c>
      <x:c r="E44" s="22" t="n">
        <x:v>10.88</x:v>
      </x:c>
      <x:c r="F44" s="22"/>
      <x:c r="G44" s="18" t="str">
        <x:v>No premium or resale label</x:v>
      </x:c>
      <x:c r="H44" s="23" t="n">
        <x:v>46302.65967592593</x:v>
      </x:c>
      <x:c r="I44" s="18" t="str">
        <x:v>Dynadot</x:v>
      </x:c>
      <x:c r="J44" s="19" t="str">
        <x:v>Standard .org first-year sale. Availability is time-bound.</x:v>
      </x:c>
      <x:c r="K44" s="20" t="str">
        <x:v>https://www.dynadot.com/domain/bulk-search</x:v>
      </x:c>
      <x:c r="L44" s="20" t="str"/>
    </x:row>
    <x:row r="45" ht="42" customHeight="1">
      <x:c r="A45" s="18" t="str">
        <x:v>Chapter to Screen</x:v>
      </x:c>
      <x:c r="B45" s="18" t="str">
        <x:v>chaptertoscreen.org</x:v>
      </x:c>
      <x:c r="C45" s="18" t="str">
        <x:v>Available standard registration</x:v>
      </x:c>
      <x:c r="D45" s="22" t="n">
        <x:v>7.99</x:v>
      </x:c>
      <x:c r="E45" s="22" t="n">
        <x:v>11.64</x:v>
      </x:c>
      <x:c r="F45" s="22"/>
      <x:c r="G45" s="18" t="str">
        <x:v>No premium or resale label</x:v>
      </x:c>
      <x:c r="H45" s="23" t="n">
        <x:v>46302.65967592593</x:v>
      </x:c>
      <x:c r="I45" s="18" t="str">
        <x:v>Dynadot</x:v>
      </x:c>
      <x:c r="J45" s="19" t="str">
        <x:v>Standard .org first-year sale. Availability is time-bound.</x:v>
      </x:c>
      <x:c r="K45" s="20" t="str">
        <x:v>https://www.dynadot.com/domain/bulk-search</x:v>
      </x:c>
      <x:c r="L45" s="20" t="str"/>
    </x:row>
    <x:row r="46" ht="42" customHeight="1">
      <x:c r="A46" s="18" t="str">
        <x:v>Scripture on Film</x:v>
      </x:c>
      <x:c r="B46" s="18" t="str">
        <x:v>scriptureonfilm.com</x:v>
      </x:c>
      <x:c r="C46" s="18" t="str">
        <x:v>Available standard registration</x:v>
      </x:c>
      <x:c r="D46" s="22" t="n">
        <x:v>10.88</x:v>
      </x:c>
      <x:c r="E46" s="22" t="n">
        <x:v>10.88</x:v>
      </x:c>
      <x:c r="F46" s="22"/>
      <x:c r="G46" s="18" t="str">
        <x:v>No premium or resale label</x:v>
      </x:c>
      <x:c r="H46" s="23" t="n">
        <x:v>46302.65967592593</x:v>
      </x:c>
      <x:c r="I46" s="18" t="str">
        <x:v>Dynadot</x:v>
      </x:c>
      <x:c r="J46" s="19" t="str">
        <x:v>Standard .org first-year sale. Availability is time-bound.</x:v>
      </x:c>
      <x:c r="K46" s="20" t="str">
        <x:v>https://www.dynadot.com/domain/bulk-search</x:v>
      </x:c>
      <x:c r="L46" s="20" t="str"/>
    </x:row>
    <x:row r="47" ht="42" customHeight="1">
      <x:c r="A47" s="18" t="str">
        <x:v>Scripture on Film</x:v>
      </x:c>
      <x:c r="B47" s="18" t="str">
        <x:v>scriptureonfilm.org</x:v>
      </x:c>
      <x:c r="C47" s="18" t="str">
        <x:v>Available standard registration</x:v>
      </x:c>
      <x:c r="D47" s="22" t="n">
        <x:v>7.99</x:v>
      </x:c>
      <x:c r="E47" s="22" t="n">
        <x:v>11.64</x:v>
      </x:c>
      <x:c r="F47" s="22"/>
      <x:c r="G47" s="18" t="str">
        <x:v>No premium or resale label</x:v>
      </x:c>
      <x:c r="H47" s="23" t="n">
        <x:v>46302.65967592593</x:v>
      </x:c>
      <x:c r="I47" s="18" t="str">
        <x:v>Dynadot</x:v>
      </x:c>
      <x:c r="J47" s="19" t="str">
        <x:v>Standard .org first-year sale. Availability is time-bound.</x:v>
      </x:c>
      <x:c r="K47" s="20" t="str">
        <x:v>https://www.dynadot.com/domain/bulk-search</x:v>
      </x:c>
      <x:c r="L47" s="20" t="str"/>
    </x:row>
    <x:row r="48" ht="42" customHeight="1">
      <x:c r="A48" s="18" t="str">
        <x:v>ScriptureKindred</x:v>
      </x:c>
      <x:c r="B48" s="18" t="str">
        <x:v>scripturekindred.com</x:v>
      </x:c>
      <x:c r="C48" s="18" t="str">
        <x:v>Available standard registration</x:v>
      </x:c>
      <x:c r="D48" s="22" t="n">
        <x:v>10.88</x:v>
      </x:c>
      <x:c r="E48" s="22" t="n">
        <x:v>10.88</x:v>
      </x:c>
      <x:c r="F48" s="22"/>
      <x:c r="G48" s="18" t="str">
        <x:v>No premium or resale label</x:v>
      </x:c>
      <x:c r="H48" s="23" t="n">
        <x:v>46302.65967592593</x:v>
      </x:c>
      <x:c r="I48" s="18" t="str">
        <x:v>Dynadot</x:v>
      </x:c>
      <x:c r="J48" s="19" t="str">
        <x:v>Standard .org first-year sale. Availability is time-bound.</x:v>
      </x:c>
      <x:c r="K48" s="20" t="str">
        <x:v>https://www.dynadot.com/domain/bulk-search</x:v>
      </x:c>
      <x:c r="L48" s="20" t="str"/>
    </x:row>
    <x:row r="49" ht="42" customHeight="1">
      <x:c r="A49" s="18" t="str">
        <x:v>ScriptureKindred</x:v>
      </x:c>
      <x:c r="B49" s="18" t="str">
        <x:v>scripturekindred.org</x:v>
      </x:c>
      <x:c r="C49" s="18" t="str">
        <x:v>Available standard registration</x:v>
      </x:c>
      <x:c r="D49" s="22" t="n">
        <x:v>7.99</x:v>
      </x:c>
      <x:c r="E49" s="22" t="n">
        <x:v>11.64</x:v>
      </x:c>
      <x:c r="F49" s="22"/>
      <x:c r="G49" s="18" t="str">
        <x:v>No premium or resale label</x:v>
      </x:c>
      <x:c r="H49" s="23" t="n">
        <x:v>46302.65967592593</x:v>
      </x:c>
      <x:c r="I49" s="18" t="str">
        <x:v>Dynadot</x:v>
      </x:c>
      <x:c r="J49" s="19" t="str">
        <x:v>Standard .org first-year sale. Availability is time-bound.</x:v>
      </x:c>
      <x:c r="K49" s="20" t="str">
        <x:v>https://www.dynadot.com/domain/bulk-search</x:v>
      </x:c>
      <x:c r="L49" s="20" t="str"/>
    </x:row>
    <x:row r="50" ht="42" customHeight="1">
      <x:c r="A50" s="18" t="str">
        <x:v>ScriptureField</x:v>
      </x:c>
      <x:c r="B50" s="18" t="str">
        <x:v>scripturefield.com</x:v>
      </x:c>
      <x:c r="C50" s="18" t="str">
        <x:v>Available standard registration</x:v>
      </x:c>
      <x:c r="D50" s="22" t="n">
        <x:v>10.88</x:v>
      </x:c>
      <x:c r="E50" s="22" t="n">
        <x:v>10.88</x:v>
      </x:c>
      <x:c r="F50" s="22"/>
      <x:c r="G50" s="18" t="str">
        <x:v>No premium or resale label</x:v>
      </x:c>
      <x:c r="H50" s="23" t="n">
        <x:v>46302.65967592593</x:v>
      </x:c>
      <x:c r="I50" s="18" t="str">
        <x:v>Dynadot</x:v>
      </x:c>
      <x:c r="J50" s="19" t="str">
        <x:v>Standard .org first-year sale. Availability is time-bound.</x:v>
      </x:c>
      <x:c r="K50" s="20" t="str">
        <x:v>https://www.dynadot.com/domain/bulk-search</x:v>
      </x:c>
      <x:c r="L50" s="20" t="str"/>
    </x:row>
    <x:row r="51" ht="42" customHeight="1">
      <x:c r="A51" s="18" t="str">
        <x:v>ScriptureField</x:v>
      </x:c>
      <x:c r="B51" s="18" t="str">
        <x:v>scripturefield.org</x:v>
      </x:c>
      <x:c r="C51" s="18" t="str">
        <x:v>Available standard registration</x:v>
      </x:c>
      <x:c r="D51" s="22" t="n">
        <x:v>7.99</x:v>
      </x:c>
      <x:c r="E51" s="22" t="n">
        <x:v>11.64</x:v>
      </x:c>
      <x:c r="F51" s="22"/>
      <x:c r="G51" s="18" t="str">
        <x:v>No premium or resale label</x:v>
      </x:c>
      <x:c r="H51" s="23" t="n">
        <x:v>46302.65967592593</x:v>
      </x:c>
      <x:c r="I51" s="18" t="str">
        <x:v>Dynadot</x:v>
      </x:c>
      <x:c r="J51" s="19" t="str">
        <x:v>Standard .org first-year sale. Availability is time-bound.</x:v>
      </x:c>
      <x:c r="K51" s="20" t="str">
        <x:v>https://www.dynadot.com/domain/bulk-search</x:v>
      </x:c>
      <x:c r="L51" s="20" t="str"/>
    </x:row>
    <x:row r="52" ht="42" customHeight="1">
      <x:c r="A52" s="18" t="str">
        <x:v>EveryVoice Scripture</x:v>
      </x:c>
      <x:c r="B52" s="18" t="str">
        <x:v>everyvoicescripture.com</x:v>
      </x:c>
      <x:c r="C52" s="18" t="str">
        <x:v>Available standard registration</x:v>
      </x:c>
      <x:c r="D52" s="22" t="n">
        <x:v>10.88</x:v>
      </x:c>
      <x:c r="E52" s="22" t="n">
        <x:v>10.88</x:v>
      </x:c>
      <x:c r="F52" s="22"/>
      <x:c r="G52" s="18" t="str">
        <x:v>No premium or resale label</x:v>
      </x:c>
      <x:c r="H52" s="23" t="n">
        <x:v>46302.65967592593</x:v>
      </x:c>
      <x:c r="I52" s="18" t="str">
        <x:v>Dynadot</x:v>
      </x:c>
      <x:c r="J52" s="19" t="str">
        <x:v>Standard .org first-year sale. Availability is time-bound.</x:v>
      </x:c>
      <x:c r="K52" s="20" t="str">
        <x:v>https://www.dynadot.com/domain/bulk-search</x:v>
      </x:c>
      <x:c r="L52" s="20" t="str"/>
    </x:row>
    <x:row r="53" ht="42" customHeight="1">
      <x:c r="A53" s="18" t="str">
        <x:v>EveryVoice Scripture</x:v>
      </x:c>
      <x:c r="B53" s="18" t="str">
        <x:v>everyvoicescripture.org</x:v>
      </x:c>
      <x:c r="C53" s="18" t="str">
        <x:v>Available standard registration</x:v>
      </x:c>
      <x:c r="D53" s="22" t="n">
        <x:v>7.99</x:v>
      </x:c>
      <x:c r="E53" s="22" t="n">
        <x:v>11.64</x:v>
      </x:c>
      <x:c r="F53" s="22"/>
      <x:c r="G53" s="18" t="str">
        <x:v>No premium or resale label</x:v>
      </x:c>
      <x:c r="H53" s="23" t="n">
        <x:v>46302.65967592593</x:v>
      </x:c>
      <x:c r="I53" s="18" t="str">
        <x:v>Dynadot</x:v>
      </x:c>
      <x:c r="J53" s="19" t="str">
        <x:v>Standard .org first-year sale. Availability is time-bound.</x:v>
      </x:c>
      <x:c r="K53" s="20" t="str">
        <x:v>https://www.dynadot.com/domain/bulk-search</x:v>
      </x:c>
      <x:c r="L53" s="20" t="str"/>
    </x:row>
    <x:row r="54" ht="42" customHeight="1">
      <x:c r="A54" s="18" t="str">
        <x:v>Word Around Us</x:v>
      </x:c>
      <x:c r="B54" s="18" t="str">
        <x:v>wordaroundus.com</x:v>
      </x:c>
      <x:c r="C54" s="18" t="str">
        <x:v>Available standard registration</x:v>
      </x:c>
      <x:c r="D54" s="22" t="n">
        <x:v>10.88</x:v>
      </x:c>
      <x:c r="E54" s="22" t="n">
        <x:v>10.88</x:v>
      </x:c>
      <x:c r="F54" s="22"/>
      <x:c r="G54" s="18" t="str">
        <x:v>No premium or resale label</x:v>
      </x:c>
      <x:c r="H54" s="23" t="n">
        <x:v>46302.65967592593</x:v>
      </x:c>
      <x:c r="I54" s="18" t="str">
        <x:v>Dynadot</x:v>
      </x:c>
      <x:c r="J54" s="19" t="str">
        <x:v>Standard .org first-year sale. Availability is time-bound.</x:v>
      </x:c>
      <x:c r="K54" s="20" t="str">
        <x:v>https://www.dynadot.com/domain/bulk-search</x:v>
      </x:c>
      <x:c r="L54" s="20" t="str">
        <x:v>https://support.wau.org/hc/en-us/articles/360044672333-Available-Editions-of-The-Word-Among-Us-Magazine</x:v>
      </x:c>
    </x:row>
    <x:row r="55" ht="42" customHeight="1">
      <x:c r="A55" s="18" t="str">
        <x:v>Word Around Us</x:v>
      </x:c>
      <x:c r="B55" s="18" t="str">
        <x:v>wordaroundus.org</x:v>
      </x:c>
      <x:c r="C55" s="18" t="str">
        <x:v>Available standard registration</x:v>
      </x:c>
      <x:c r="D55" s="22" t="n">
        <x:v>7.99</x:v>
      </x:c>
      <x:c r="E55" s="22" t="n">
        <x:v>11.64</x:v>
      </x:c>
      <x:c r="F55" s="22"/>
      <x:c r="G55" s="18" t="str">
        <x:v>No premium or resale label</x:v>
      </x:c>
      <x:c r="H55" s="23" t="n">
        <x:v>46302.65967592593</x:v>
      </x:c>
      <x:c r="I55" s="18" t="str">
        <x:v>Dynadot</x:v>
      </x:c>
      <x:c r="J55" s="19" t="str">
        <x:v>Standard .org first-year sale. Availability is time-bound.</x:v>
      </x:c>
      <x:c r="K55" s="20" t="str">
        <x:v>https://www.dynadot.com/domain/bulk-search</x:v>
      </x:c>
      <x:c r="L55" s="20" t="str"/>
    </x:row>
    <x:row r="56" ht="42" customHeight="1">
      <x:c r="A56" s="18" t="str">
        <x:v>Word and Light</x:v>
      </x:c>
      <x:c r="B56" s="18" t="str">
        <x:v>wordandlight.com</x:v>
      </x:c>
      <x:c r="C56" s="18" t="str">
        <x:v>Taken</x:v>
      </x:c>
      <x:c r="D56" s="22"/>
      <x:c r="E56" s="22"/>
      <x:c r="F56" s="22"/>
      <x:c r="G56" s="18" t="str">
        <x:v>Taken. No acquisition quote.</x:v>
      </x:c>
      <x:c r="H56" s="23" t="n">
        <x:v>46302.66637731482</x:v>
      </x:c>
      <x:c r="I56" s="18" t="str">
        <x:v>Dynadot</x:v>
      </x:c>
      <x:c r="J56" s="19" t="str">
        <x:v>Hire a Broker is not a resale listing, a price quote or evidence that the owner will sell.</x:v>
      </x:c>
      <x:c r="K56" s="20" t="str">
        <x:v>https://www.dynadot.com/domain/bulk-search</x:v>
      </x:c>
      <x:c r="L56" s="20" t="str">
        <x:v>https://www.wordandlight.com/</x:v>
      </x:c>
    </x:row>
    <x:row r="57" ht="42" customHeight="1">
      <x:c r="A57" s="18" t="str">
        <x:v>Word and Light</x:v>
      </x:c>
      <x:c r="B57" s="18" t="str">
        <x:v>wordandlight.org</x:v>
      </x:c>
      <x:c r="C57" s="18" t="str">
        <x:v>Taken</x:v>
      </x:c>
      <x:c r="D57" s="22"/>
      <x:c r="E57" s="22"/>
      <x:c r="F57" s="22"/>
      <x:c r="G57" s="18" t="str">
        <x:v>Taken. No acquisition quote.</x:v>
      </x:c>
      <x:c r="H57" s="23" t="n">
        <x:v>46302.66637731482</x:v>
      </x:c>
      <x:c r="I57" s="18" t="str">
        <x:v>Dynadot</x:v>
      </x:c>
      <x:c r="J57" s="19" t="str">
        <x:v>Hire a Broker is not a resale listing, a price quote or evidence that the owner will sell.</x:v>
      </x:c>
      <x:c r="K57" s="20" t="str">
        <x:v>https://www.dynadot.com/domain/bulk-search</x:v>
      </x:c>
      <x:c r="L57" s="20" t="str"/>
    </x:row>
    <x:row r="58" ht="42" customHeight="1">
      <x:c r="A58" s="18" t="str">
        <x:v>Scripture in Light</x:v>
      </x:c>
      <x:c r="B58" s="18" t="str">
        <x:v>scriptureinlight.com</x:v>
      </x:c>
      <x:c r="C58" s="18" t="str">
        <x:v>Available standard registration</x:v>
      </x:c>
      <x:c r="D58" s="22" t="n">
        <x:v>10.88</x:v>
      </x:c>
      <x:c r="E58" s="22" t="n">
        <x:v>10.88</x:v>
      </x:c>
      <x:c r="F58" s="22"/>
      <x:c r="G58" s="18" t="str">
        <x:v>No premium or resale label</x:v>
      </x:c>
      <x:c r="H58" s="23" t="n">
        <x:v>46302.67157407408</x:v>
      </x:c>
      <x:c r="I58" s="18" t="str">
        <x:v>Dynadot</x:v>
      </x:c>
      <x:c r="J58" s="19" t="str">
        <x:v>Standard .org first-year sale. Availability is time-bound.</x:v>
      </x:c>
      <x:c r="K58" s="20" t="str">
        <x:v>https://www.dynadot.com/domain/bulk-search</x:v>
      </x:c>
      <x:c r="L58" s="20" t="str"/>
    </x:row>
    <x:row r="59" ht="42" customHeight="1">
      <x:c r="A59" s="18" t="str">
        <x:v>Scripture in Light</x:v>
      </x:c>
      <x:c r="B59" s="18" t="str">
        <x:v>scriptureinlight.org</x:v>
      </x:c>
      <x:c r="C59" s="18" t="str">
        <x:v>Available standard registration</x:v>
      </x:c>
      <x:c r="D59" s="22" t="n">
        <x:v>7.99</x:v>
      </x:c>
      <x:c r="E59" s="22" t="n">
        <x:v>11.64</x:v>
      </x:c>
      <x:c r="F59" s="22"/>
      <x:c r="G59" s="18" t="str">
        <x:v>No premium or resale label</x:v>
      </x:c>
      <x:c r="H59" s="23" t="n">
        <x:v>46302.67157407408</x:v>
      </x:c>
      <x:c r="I59" s="18" t="str">
        <x:v>Dynadot</x:v>
      </x:c>
      <x:c r="J59" s="19" t="str">
        <x:v>Standard .org first-year sale. Availability is time-bound.</x:v>
      </x:c>
      <x:c r="K59" s="20" t="str">
        <x:v>https://www.dynadot.com/domain/bulk-search</x:v>
      </x:c>
      <x:c r="L59" s="20" t="str"/>
    </x:row>
    <x:row r="60" ht="42" customHeight="1">
      <x:c r="A60" s="18" t="str">
        <x:v>Chapter in Light</x:v>
      </x:c>
      <x:c r="B60" s="18" t="str">
        <x:v>chapterinlight.com</x:v>
      </x:c>
      <x:c r="C60" s="18" t="str">
        <x:v>Available standard registration</x:v>
      </x:c>
      <x:c r="D60" s="22" t="n">
        <x:v>10.88</x:v>
      </x:c>
      <x:c r="E60" s="22" t="n">
        <x:v>10.88</x:v>
      </x:c>
      <x:c r="F60" s="22"/>
      <x:c r="G60" s="18" t="str">
        <x:v>No premium or resale label</x:v>
      </x:c>
      <x:c r="H60" s="23" t="n">
        <x:v>46302.67157407408</x:v>
      </x:c>
      <x:c r="I60" s="18" t="str">
        <x:v>Dynadot</x:v>
      </x:c>
      <x:c r="J60" s="19" t="str">
        <x:v>Standard .org first-year sale. Availability is time-bound.</x:v>
      </x:c>
      <x:c r="K60" s="20" t="str">
        <x:v>https://www.dynadot.com/domain/bulk-search</x:v>
      </x:c>
      <x:c r="L60" s="20" t="str"/>
    </x:row>
    <x:row r="61" ht="42" customHeight="1">
      <x:c r="A61" s="18" t="str">
        <x:v>Chapter in Light</x:v>
      </x:c>
      <x:c r="B61" s="18" t="str">
        <x:v>chapterinlight.org</x:v>
      </x:c>
      <x:c r="C61" s="18" t="str">
        <x:v>Available standard registration</x:v>
      </x:c>
      <x:c r="D61" s="22" t="n">
        <x:v>7.99</x:v>
      </x:c>
      <x:c r="E61" s="22" t="n">
        <x:v>11.64</x:v>
      </x:c>
      <x:c r="F61" s="22"/>
      <x:c r="G61" s="18" t="str">
        <x:v>No premium or resale label</x:v>
      </x:c>
      <x:c r="H61" s="23" t="n">
        <x:v>46302.67157407408</x:v>
      </x:c>
      <x:c r="I61" s="18" t="str">
        <x:v>Dynadot</x:v>
      </x:c>
      <x:c r="J61" s="19" t="str">
        <x:v>Standard .org first-year sale. Availability is time-bound.</x:v>
      </x:c>
      <x:c r="K61" s="20" t="str">
        <x:v>https://www.dynadot.com/domain/bulk-search</x:v>
      </x:c>
      <x:c r="L61" s="20" t="str"/>
    </x:row>
    <x:row r="62" ht="42" customHeight="1">
      <x:c r="A62" s="18" t="str">
        <x:v>Word Into Light</x:v>
      </x:c>
      <x:c r="B62" s="18" t="str">
        <x:v>wordintolight.com</x:v>
      </x:c>
      <x:c r="C62" s="18" t="str">
        <x:v>Available standard registration</x:v>
      </x:c>
      <x:c r="D62" s="22" t="n">
        <x:v>10.88</x:v>
      </x:c>
      <x:c r="E62" s="22" t="n">
        <x:v>10.88</x:v>
      </x:c>
      <x:c r="F62" s="22"/>
      <x:c r="G62" s="18" t="str">
        <x:v>No premium or resale label</x:v>
      </x:c>
      <x:c r="H62" s="23" t="n">
        <x:v>46302.67157407408</x:v>
      </x:c>
      <x:c r="I62" s="18" t="str">
        <x:v>Dynadot</x:v>
      </x:c>
      <x:c r="J62" s="19" t="str">
        <x:v>Standard .org first-year sale. Availability is time-bound.</x:v>
      </x:c>
      <x:c r="K62" s="20" t="str">
        <x:v>https://www.dynadot.com/domain/bulk-search</x:v>
      </x:c>
      <x:c r="L62" s="20" t="str">
        <x:v>https://www.wordandlight.com/</x:v>
      </x:c>
    </x:row>
    <x:row r="63" ht="42" customHeight="1">
      <x:c r="A63" s="18" t="str">
        <x:v>Word Into Light</x:v>
      </x:c>
      <x:c r="B63" s="18" t="str">
        <x:v>wordintolight.org</x:v>
      </x:c>
      <x:c r="C63" s="18" t="str">
        <x:v>Available standard registration</x:v>
      </x:c>
      <x:c r="D63" s="22" t="n">
        <x:v>7.99</x:v>
      </x:c>
      <x:c r="E63" s="22" t="n">
        <x:v>11.64</x:v>
      </x:c>
      <x:c r="F63" s="22"/>
      <x:c r="G63" s="18" t="str">
        <x:v>No premium or resale label</x:v>
      </x:c>
      <x:c r="H63" s="23" t="n">
        <x:v>46302.67157407408</x:v>
      </x:c>
      <x:c r="I63" s="18" t="str">
        <x:v>Dynadot</x:v>
      </x:c>
      <x:c r="J63" s="19" t="str">
        <x:v>Standard .org first-year sale. Availability is time-bound.</x:v>
      </x:c>
      <x:c r="K63" s="20" t="str">
        <x:v>https://www.dynadot.com/domain/bulk-search</x:v>
      </x:c>
      <x:c r="L63" s="20" t="str"/>
    </x:row>
    <x:row r="64" ht="42" customHeight="1">
      <x:c r="A64" s="18" t="str">
        <x:v>Light Across Languages</x:v>
      </x:c>
      <x:c r="B64" s="18" t="str">
        <x:v>lightacrosslanguages.com</x:v>
      </x:c>
      <x:c r="C64" s="18" t="str">
        <x:v>Available standard registration</x:v>
      </x:c>
      <x:c r="D64" s="22" t="n">
        <x:v>10.88</x:v>
      </x:c>
      <x:c r="E64" s="22" t="n">
        <x:v>10.88</x:v>
      </x:c>
      <x:c r="F64" s="22"/>
      <x:c r="G64" s="18" t="str">
        <x:v>No premium or resale label</x:v>
      </x:c>
      <x:c r="H64" s="23" t="n">
        <x:v>46302.67157407408</x:v>
      </x:c>
      <x:c r="I64" s="18" t="str">
        <x:v>Dynadot</x:v>
      </x:c>
      <x:c r="J64" s="19" t="str">
        <x:v>Standard .org first-year sale. Availability is time-bound.</x:v>
      </x:c>
      <x:c r="K64" s="20" t="str">
        <x:v>https://www.dynadot.com/domain/bulk-search</x:v>
      </x:c>
      <x:c r="L64" s="20" t="str"/>
    </x:row>
    <x:row r="65" ht="42" customHeight="1">
      <x:c r="A65" s="18" t="str">
        <x:v>Light Across Languages</x:v>
      </x:c>
      <x:c r="B65" s="18" t="str">
        <x:v>lightacrosslanguages.org</x:v>
      </x:c>
      <x:c r="C65" s="18" t="str">
        <x:v>Available standard registration</x:v>
      </x:c>
      <x:c r="D65" s="22" t="n">
        <x:v>7.99</x:v>
      </x:c>
      <x:c r="E65" s="22" t="n">
        <x:v>11.64</x:v>
      </x:c>
      <x:c r="F65" s="22"/>
      <x:c r="G65" s="18" t="str">
        <x:v>No premium or resale label</x:v>
      </x:c>
      <x:c r="H65" s="23" t="n">
        <x:v>46302.67157407408</x:v>
      </x:c>
      <x:c r="I65" s="18" t="str">
        <x:v>Dynadot</x:v>
      </x:c>
      <x:c r="J65" s="19" t="str">
        <x:v>Standard .org first-year sale. Availability is time-bound.</x:v>
      </x:c>
      <x:c r="K65" s="20" t="str">
        <x:v>https://www.dynadot.com/domain/bulk-search</x:v>
      </x:c>
      <x:c r="L65" s="20" t="str"/>
    </x:row>
    <x:row r="66" ht="42" customHeight="1">
      <x:c r="A66" s="18" t="str">
        <x:v>Light in Every Tongue</x:v>
      </x:c>
      <x:c r="B66" s="18" t="str">
        <x:v>lightineverytongue.com</x:v>
      </x:c>
      <x:c r="C66" s="18" t="str">
        <x:v>Available standard registration</x:v>
      </x:c>
      <x:c r="D66" s="22" t="n">
        <x:v>10.88</x:v>
      </x:c>
      <x:c r="E66" s="22" t="n">
        <x:v>10.88</x:v>
      </x:c>
      <x:c r="F66" s="22"/>
      <x:c r="G66" s="18" t="str">
        <x:v>No premium or resale label</x:v>
      </x:c>
      <x:c r="H66" s="23" t="n">
        <x:v>46302.67157407408</x:v>
      </x:c>
      <x:c r="I66" s="18" t="str">
        <x:v>Dynadot</x:v>
      </x:c>
      <x:c r="J66" s="19" t="str">
        <x:v>Standard .org first-year sale. Availability is time-bound.</x:v>
      </x:c>
      <x:c r="K66" s="20" t="str">
        <x:v>https://www.dynadot.com/domain/bulk-search</x:v>
      </x:c>
      <x:c r="L66" s="20" t="str"/>
    </x:row>
    <x:row r="67" ht="42" customHeight="1">
      <x:c r="A67" s="18" t="str">
        <x:v>Light in Every Tongue</x:v>
      </x:c>
      <x:c r="B67" s="18" t="str">
        <x:v>lightineverytongue.org</x:v>
      </x:c>
      <x:c r="C67" s="18" t="str">
        <x:v>Available standard registration</x:v>
      </x:c>
      <x:c r="D67" s="22" t="n">
        <x:v>7.99</x:v>
      </x:c>
      <x:c r="E67" s="22" t="n">
        <x:v>11.64</x:v>
      </x:c>
      <x:c r="F67" s="22"/>
      <x:c r="G67" s="18" t="str">
        <x:v>No premium or resale label</x:v>
      </x:c>
      <x:c r="H67" s="23" t="n">
        <x:v>46302.67157407408</x:v>
      </x:c>
      <x:c r="I67" s="18" t="str">
        <x:v>Dynadot</x:v>
      </x:c>
      <x:c r="J67" s="19" t="str">
        <x:v>Standard .org first-year sale. Availability is time-bound.</x:v>
      </x:c>
      <x:c r="K67" s="20" t="str">
        <x:v>https://www.dynadot.com/domain/bulk-search</x:v>
      </x:c>
      <x:c r="L67" s="20" t="str"/>
    </x:row>
    <x:row r="68" ht="42" customHeight="1">
      <x:c r="A68" s="18" t="str">
        <x:v>Light in Our Language</x:v>
      </x:c>
      <x:c r="B68" s="18" t="str">
        <x:v>lightinourlanguage.com</x:v>
      </x:c>
      <x:c r="C68" s="18" t="str">
        <x:v>Available standard registration</x:v>
      </x:c>
      <x:c r="D68" s="22" t="n">
        <x:v>10.88</x:v>
      </x:c>
      <x:c r="E68" s="22" t="n">
        <x:v>10.88</x:v>
      </x:c>
      <x:c r="F68" s="22"/>
      <x:c r="G68" s="18" t="str">
        <x:v>No premium or resale label</x:v>
      </x:c>
      <x:c r="H68" s="23" t="n">
        <x:v>46302.67157407408</x:v>
      </x:c>
      <x:c r="I68" s="18" t="str">
        <x:v>Dynadot</x:v>
      </x:c>
      <x:c r="J68" s="19" t="str">
        <x:v>Standard .org first-year sale. Availability is time-bound.</x:v>
      </x:c>
      <x:c r="K68" s="20" t="str">
        <x:v>https://www.dynadot.com/domain/bulk-search</x:v>
      </x:c>
      <x:c r="L68" s="20" t="str"/>
    </x:row>
    <x:row r="69" ht="42" customHeight="1">
      <x:c r="A69" s="18" t="str">
        <x:v>Light in Our Language</x:v>
      </x:c>
      <x:c r="B69" s="18" t="str">
        <x:v>lightinourlanguage.org</x:v>
      </x:c>
      <x:c r="C69" s="18" t="str">
        <x:v>Available standard registration</x:v>
      </x:c>
      <x:c r="D69" s="22" t="n">
        <x:v>7.99</x:v>
      </x:c>
      <x:c r="E69" s="22" t="n">
        <x:v>11.64</x:v>
      </x:c>
      <x:c r="F69" s="22"/>
      <x:c r="G69" s="18" t="str">
        <x:v>No premium or resale label</x:v>
      </x:c>
      <x:c r="H69" s="23" t="n">
        <x:v>46302.67157407408</x:v>
      </x:c>
      <x:c r="I69" s="18" t="str">
        <x:v>Dynadot</x:v>
      </x:c>
      <x:c r="J69" s="19" t="str">
        <x:v>Standard .org first-year sale. Availability is time-bound.</x:v>
      </x:c>
      <x:c r="K69" s="20" t="str">
        <x:v>https://www.dynadot.com/domain/bulk-search</x:v>
      </x:c>
      <x:c r="L69" s="20" t="str"/>
    </x:row>
    <x:row r="70" ht="42" customHeight="1">
      <x:c r="A70" s="18" t="str">
        <x:v>Light in Their Words</x:v>
      </x:c>
      <x:c r="B70" s="18" t="str">
        <x:v>lightintheirwords.com</x:v>
      </x:c>
      <x:c r="C70" s="18" t="str">
        <x:v>Available standard registration</x:v>
      </x:c>
      <x:c r="D70" s="22" t="n">
        <x:v>10.88</x:v>
      </x:c>
      <x:c r="E70" s="22" t="n">
        <x:v>10.88</x:v>
      </x:c>
      <x:c r="F70" s="22"/>
      <x:c r="G70" s="18" t="str">
        <x:v>No premium or resale label</x:v>
      </x:c>
      <x:c r="H70" s="23" t="n">
        <x:v>46302.67157407408</x:v>
      </x:c>
      <x:c r="I70" s="18" t="str">
        <x:v>Dynadot</x:v>
      </x:c>
      <x:c r="J70" s="19" t="str">
        <x:v>Standard .org first-year sale. Availability is time-bound.</x:v>
      </x:c>
      <x:c r="K70" s="20" t="str">
        <x:v>https://www.dynadot.com/domain/bulk-search</x:v>
      </x:c>
      <x:c r="L70" s="20" t="str"/>
    </x:row>
    <x:row r="71" ht="42" customHeight="1">
      <x:c r="A71" s="18" t="str">
        <x:v>Light in Their Words</x:v>
      </x:c>
      <x:c r="B71" s="18" t="str">
        <x:v>lightintheirwords.org</x:v>
      </x:c>
      <x:c r="C71" s="18" t="str">
        <x:v>Available standard registration</x:v>
      </x:c>
      <x:c r="D71" s="22" t="n">
        <x:v>7.99</x:v>
      </x:c>
      <x:c r="E71" s="22" t="n">
        <x:v>11.64</x:v>
      </x:c>
      <x:c r="F71" s="22"/>
      <x:c r="G71" s="18" t="str">
        <x:v>No premium or resale label</x:v>
      </x:c>
      <x:c r="H71" s="23" t="n">
        <x:v>46302.67157407408</x:v>
      </x:c>
      <x:c r="I71" s="18" t="str">
        <x:v>Dynadot</x:v>
      </x:c>
      <x:c r="J71" s="19" t="str">
        <x:v>Standard .org first-year sale. Availability is time-bound.</x:v>
      </x:c>
      <x:c r="K71" s="20" t="str">
        <x:v>https://www.dynadot.com/domain/bulk-search</x:v>
      </x:c>
      <x:c r="L71" s="20" t="str"/>
    </x:row>
    <x:row r="72" ht="42" customHeight="1">
      <x:c r="A72" s="18" t="str">
        <x:v>Light by the Word</x:v>
      </x:c>
      <x:c r="B72" s="18" t="str">
        <x:v>lightbytheword.com</x:v>
      </x:c>
      <x:c r="C72" s="18" t="str">
        <x:v>Available standard registration</x:v>
      </x:c>
      <x:c r="D72" s="22" t="n">
        <x:v>10.88</x:v>
      </x:c>
      <x:c r="E72" s="22" t="n">
        <x:v>10.88</x:v>
      </x:c>
      <x:c r="F72" s="22"/>
      <x:c r="G72" s="18" t="str">
        <x:v>No premium or resale label</x:v>
      </x:c>
      <x:c r="H72" s="23" t="n">
        <x:v>46302.67157407408</x:v>
      </x:c>
      <x:c r="I72" s="18" t="str">
        <x:v>Dynadot</x:v>
      </x:c>
      <x:c r="J72" s="19" t="str">
        <x:v>Standard .org first-year sale. Availability is time-bound.</x:v>
      </x:c>
      <x:c r="K72" s="20" t="str">
        <x:v>https://www.dynadot.com/domain/bulk-search</x:v>
      </x:c>
      <x:c r="L72" s="20" t="str"/>
    </x:row>
    <x:row r="73" ht="42" customHeight="1">
      <x:c r="A73" s="18" t="str">
        <x:v>Light by the Word</x:v>
      </x:c>
      <x:c r="B73" s="18" t="str">
        <x:v>lightbytheword.org</x:v>
      </x:c>
      <x:c r="C73" s="18" t="str">
        <x:v>Available standard registration</x:v>
      </x:c>
      <x:c r="D73" s="22" t="n">
        <x:v>7.99</x:v>
      </x:c>
      <x:c r="E73" s="22" t="n">
        <x:v>11.64</x:v>
      </x:c>
      <x:c r="F73" s="22"/>
      <x:c r="G73" s="18" t="str">
        <x:v>No premium or resale label</x:v>
      </x:c>
      <x:c r="H73" s="23" t="n">
        <x:v>46302.67157407408</x:v>
      </x:c>
      <x:c r="I73" s="18" t="str">
        <x:v>Dynadot</x:v>
      </x:c>
      <x:c r="J73" s="19" t="str">
        <x:v>Standard .org first-year sale. Availability is time-bound.</x:v>
      </x:c>
      <x:c r="K73" s="20" t="str">
        <x:v>https://www.dynadot.com/domain/bulk-search</x:v>
      </x:c>
      <x:c r="L73" s="20" t="str"/>
    </x:row>
  </x:sheetData>
  <x:conditionalFormatting sqref="C8:C73">
    <x:cfRule type="containsText" dxfId="1" priority="1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91b6e84e8f4240f8"/>
  </x:tableParts>
</x:worksheet>
</file>